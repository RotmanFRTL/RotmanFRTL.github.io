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esktop\RITCxCMU\Base Script\"/>
    </mc:Choice>
  </mc:AlternateContent>
  <xr:revisionPtr revIDLastSave="0" documentId="13_ncr:1_{B4390441-185A-4960-9148-C23F57C45496}" xr6:coauthVersionLast="47" xr6:coauthVersionMax="47" xr10:uidLastSave="{00000000-0000-0000-0000-000000000000}"/>
  <bookViews>
    <workbookView xWindow="-120" yWindow="-120" windowWidth="35745" windowHeight="16305" xr2:uid="{00000000-000D-0000-FFFF-FFFF00000000}"/>
  </bookViews>
  <sheets>
    <sheet name="Decision Support" sheetId="1" r:id="rId1"/>
    <sheet name="Chart Data" sheetId="2" r:id="rId2"/>
  </sheets>
  <functionGroups builtInGroupCount="19"/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Data'!$B$2:$B$601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40410.6428819444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'Decision Support'!$B$21</definedName>
    <definedName name="RiskFree">'Decision Support'!$B$14</definedName>
    <definedName name="StockPrice">'Decision Support'!$B$8</definedName>
    <definedName name="Time_to_Maturity">'Decision Support'!$B$13</definedName>
    <definedName name="Volatility">'Decision Support'!$B$15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3" i="2" l="1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75" i="2"/>
  <c r="F283" i="2"/>
  <c r="F291" i="2"/>
  <c r="F299" i="2"/>
  <c r="F301" i="2"/>
  <c r="F4" i="2"/>
  <c r="F3" i="2"/>
  <c r="F2" i="2"/>
  <c r="I7" i="2"/>
  <c r="F6" i="2" s="1"/>
  <c r="K3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B28" i="1"/>
  <c r="B27" i="1"/>
  <c r="F48" i="1"/>
  <c r="C27" i="1"/>
  <c r="F39" i="1"/>
  <c r="C28" i="1"/>
  <c r="I2" i="2"/>
  <c r="C33" i="1"/>
  <c r="C24" i="1"/>
  <c r="C30" i="1"/>
  <c r="C29" i="1"/>
  <c r="C25" i="1"/>
  <c r="C34" i="1"/>
  <c r="C32" i="1"/>
  <c r="C26" i="1"/>
  <c r="C31" i="1"/>
  <c r="F253" i="2" l="1"/>
  <c r="F300" i="2"/>
  <c r="F292" i="2"/>
  <c r="F284" i="2"/>
  <c r="F276" i="2"/>
  <c r="F268" i="2"/>
  <c r="F260" i="2"/>
  <c r="F252" i="2"/>
  <c r="F244" i="2"/>
  <c r="F236" i="2"/>
  <c r="F228" i="2"/>
  <c r="F220" i="2"/>
  <c r="F212" i="2"/>
  <c r="F204" i="2"/>
  <c r="F196" i="2"/>
  <c r="F188" i="2"/>
  <c r="F180" i="2"/>
  <c r="F172" i="2"/>
  <c r="F164" i="2"/>
  <c r="F148" i="2"/>
  <c r="F123" i="2"/>
  <c r="F61" i="2"/>
  <c r="F147" i="2"/>
  <c r="F117" i="2"/>
  <c r="F53" i="2"/>
  <c r="F298" i="2"/>
  <c r="F290" i="2"/>
  <c r="F282" i="2"/>
  <c r="F274" i="2"/>
  <c r="F266" i="2"/>
  <c r="F258" i="2"/>
  <c r="F250" i="2"/>
  <c r="F242" i="2"/>
  <c r="F234" i="2"/>
  <c r="F226" i="2"/>
  <c r="F218" i="2"/>
  <c r="F210" i="2"/>
  <c r="F202" i="2"/>
  <c r="F194" i="2"/>
  <c r="F186" i="2"/>
  <c r="F178" i="2"/>
  <c r="F170" i="2"/>
  <c r="F158" i="2"/>
  <c r="F141" i="2"/>
  <c r="F109" i="2"/>
  <c r="F45" i="2"/>
  <c r="F297" i="2"/>
  <c r="F289" i="2"/>
  <c r="F281" i="2"/>
  <c r="F249" i="2"/>
  <c r="F241" i="2"/>
  <c r="F233" i="2"/>
  <c r="F225" i="2"/>
  <c r="F217" i="2"/>
  <c r="F209" i="2"/>
  <c r="F201" i="2"/>
  <c r="F193" i="2"/>
  <c r="F185" i="2"/>
  <c r="F177" i="2"/>
  <c r="F169" i="2"/>
  <c r="F157" i="2"/>
  <c r="F140" i="2"/>
  <c r="F101" i="2"/>
  <c r="F37" i="2"/>
  <c r="F257" i="2"/>
  <c r="F296" i="2"/>
  <c r="F288" i="2"/>
  <c r="F280" i="2"/>
  <c r="F272" i="2"/>
  <c r="F264" i="2"/>
  <c r="F256" i="2"/>
  <c r="F248" i="2"/>
  <c r="F240" i="2"/>
  <c r="F232" i="2"/>
  <c r="F224" i="2"/>
  <c r="F216" i="2"/>
  <c r="F208" i="2"/>
  <c r="F200" i="2"/>
  <c r="F192" i="2"/>
  <c r="F184" i="2"/>
  <c r="F176" i="2"/>
  <c r="F168" i="2"/>
  <c r="F156" i="2"/>
  <c r="F133" i="2"/>
  <c r="F93" i="2"/>
  <c r="F34" i="2"/>
  <c r="F265" i="2"/>
  <c r="F295" i="2"/>
  <c r="F287" i="2"/>
  <c r="F279" i="2"/>
  <c r="F271" i="2"/>
  <c r="F263" i="2"/>
  <c r="F255" i="2"/>
  <c r="F247" i="2"/>
  <c r="F239" i="2"/>
  <c r="F231" i="2"/>
  <c r="F223" i="2"/>
  <c r="F215" i="2"/>
  <c r="F207" i="2"/>
  <c r="F199" i="2"/>
  <c r="F191" i="2"/>
  <c r="F183" i="2"/>
  <c r="F175" i="2"/>
  <c r="F167" i="2"/>
  <c r="F155" i="2"/>
  <c r="F132" i="2"/>
  <c r="F85" i="2"/>
  <c r="F29" i="2"/>
  <c r="F273" i="2"/>
  <c r="F294" i="2"/>
  <c r="F286" i="2"/>
  <c r="F278" i="2"/>
  <c r="F270" i="2"/>
  <c r="F262" i="2"/>
  <c r="F254" i="2"/>
  <c r="F246" i="2"/>
  <c r="F238" i="2"/>
  <c r="F230" i="2"/>
  <c r="F222" i="2"/>
  <c r="F214" i="2"/>
  <c r="F206" i="2"/>
  <c r="F198" i="2"/>
  <c r="F190" i="2"/>
  <c r="F182" i="2"/>
  <c r="F174" i="2"/>
  <c r="F166" i="2"/>
  <c r="F154" i="2"/>
  <c r="F125" i="2"/>
  <c r="F77" i="2"/>
  <c r="F21" i="2"/>
  <c r="F293" i="2"/>
  <c r="F285" i="2"/>
  <c r="F277" i="2"/>
  <c r="F269" i="2"/>
  <c r="F261" i="2"/>
  <c r="F245" i="2"/>
  <c r="F237" i="2"/>
  <c r="F229" i="2"/>
  <c r="F221" i="2"/>
  <c r="F213" i="2"/>
  <c r="F205" i="2"/>
  <c r="F197" i="2"/>
  <c r="F189" i="2"/>
  <c r="F181" i="2"/>
  <c r="F173" i="2"/>
  <c r="F165" i="2"/>
  <c r="F149" i="2"/>
  <c r="F124" i="2"/>
  <c r="F69" i="2"/>
  <c r="F13" i="2"/>
  <c r="F116" i="2"/>
  <c r="F108" i="2"/>
  <c r="F100" i="2"/>
  <c r="F92" i="2"/>
  <c r="F84" i="2"/>
  <c r="F76" i="2"/>
  <c r="F68" i="2"/>
  <c r="F60" i="2"/>
  <c r="F52" i="2"/>
  <c r="F44" i="2"/>
  <c r="F36" i="2"/>
  <c r="F28" i="2"/>
  <c r="F20" i="2"/>
  <c r="F12" i="2"/>
  <c r="F139" i="2"/>
  <c r="F131" i="2"/>
  <c r="F115" i="2"/>
  <c r="F107" i="2"/>
  <c r="F99" i="2"/>
  <c r="F91" i="2"/>
  <c r="F83" i="2"/>
  <c r="F75" i="2"/>
  <c r="F67" i="2"/>
  <c r="F59" i="2"/>
  <c r="F51" i="2"/>
  <c r="F43" i="2"/>
  <c r="F35" i="2"/>
  <c r="F27" i="2"/>
  <c r="F19" i="2"/>
  <c r="F11" i="2"/>
  <c r="F130" i="2"/>
  <c r="F98" i="2"/>
  <c r="F66" i="2"/>
  <c r="F42" i="2"/>
  <c r="F10" i="2"/>
  <c r="F5" i="2"/>
  <c r="F161" i="2"/>
  <c r="F153" i="2"/>
  <c r="F145" i="2"/>
  <c r="F137" i="2"/>
  <c r="F129" i="2"/>
  <c r="F121" i="2"/>
  <c r="F113" i="2"/>
  <c r="F105" i="2"/>
  <c r="F97" i="2"/>
  <c r="F89" i="2"/>
  <c r="F81" i="2"/>
  <c r="F73" i="2"/>
  <c r="F65" i="2"/>
  <c r="F57" i="2"/>
  <c r="F49" i="2"/>
  <c r="F41" i="2"/>
  <c r="F33" i="2"/>
  <c r="F25" i="2"/>
  <c r="F17" i="2"/>
  <c r="F9" i="2"/>
  <c r="F122" i="2"/>
  <c r="F90" i="2"/>
  <c r="F58" i="2"/>
  <c r="F50" i="2"/>
  <c r="F18" i="2"/>
  <c r="F160" i="2"/>
  <c r="F152" i="2"/>
  <c r="F144" i="2"/>
  <c r="F136" i="2"/>
  <c r="F128" i="2"/>
  <c r="F120" i="2"/>
  <c r="F112" i="2"/>
  <c r="F104" i="2"/>
  <c r="F96" i="2"/>
  <c r="F88" i="2"/>
  <c r="F80" i="2"/>
  <c r="F72" i="2"/>
  <c r="F64" i="2"/>
  <c r="F56" i="2"/>
  <c r="F48" i="2"/>
  <c r="F40" i="2"/>
  <c r="F32" i="2"/>
  <c r="F24" i="2"/>
  <c r="F16" i="2"/>
  <c r="F8" i="2"/>
  <c r="F162" i="2"/>
  <c r="F138" i="2"/>
  <c r="F114" i="2"/>
  <c r="F82" i="2"/>
  <c r="F26" i="2"/>
  <c r="F159" i="2"/>
  <c r="F151" i="2"/>
  <c r="F143" i="2"/>
  <c r="F135" i="2"/>
  <c r="F127" i="2"/>
  <c r="F119" i="2"/>
  <c r="F111" i="2"/>
  <c r="F103" i="2"/>
  <c r="F95" i="2"/>
  <c r="F87" i="2"/>
  <c r="F79" i="2"/>
  <c r="F71" i="2"/>
  <c r="F63" i="2"/>
  <c r="F55" i="2"/>
  <c r="F47" i="2"/>
  <c r="F39" i="2"/>
  <c r="F31" i="2"/>
  <c r="F23" i="2"/>
  <c r="F15" i="2"/>
  <c r="F7" i="2"/>
  <c r="F146" i="2"/>
  <c r="F106" i="2"/>
  <c r="F74" i="2"/>
  <c r="F150" i="2"/>
  <c r="F142" i="2"/>
  <c r="F134" i="2"/>
  <c r="F126" i="2"/>
  <c r="F118" i="2"/>
  <c r="F110" i="2"/>
  <c r="F102" i="2"/>
  <c r="F94" i="2"/>
  <c r="F86" i="2"/>
  <c r="F78" i="2"/>
  <c r="F70" i="2"/>
  <c r="F62" i="2"/>
  <c r="F54" i="2"/>
  <c r="F46" i="2"/>
  <c r="F38" i="2"/>
  <c r="F30" i="2"/>
  <c r="F22" i="2"/>
  <c r="F14" i="2"/>
  <c r="D24" i="1"/>
  <c r="I5" i="2"/>
  <c r="B29" i="1"/>
  <c r="B31" i="1" s="1"/>
  <c r="B30" i="1"/>
  <c r="B33" i="1" l="1"/>
  <c r="B32" i="1"/>
  <c r="B34" i="1" l="1"/>
  <c r="B8" i="1"/>
  <c r="B7" i="1"/>
  <c r="B12" i="1" s="1"/>
  <c r="B13" i="1" l="1"/>
  <c r="B42" i="1"/>
  <c r="B41" i="1"/>
  <c r="F42" i="1"/>
  <c r="F47" i="1"/>
  <c r="F40" i="1"/>
  <c r="F45" i="1"/>
  <c r="F46" i="1"/>
  <c r="F44" i="1"/>
  <c r="F41" i="1"/>
  <c r="F43" i="1"/>
  <c r="G39" i="1"/>
  <c r="G48" i="1"/>
  <c r="G42" i="1"/>
  <c r="G45" i="1"/>
  <c r="G47" i="1"/>
  <c r="G43" i="1"/>
  <c r="C39" i="1" l="1"/>
  <c r="B43" i="1"/>
  <c r="B45" i="1" s="1"/>
  <c r="C45" i="1" s="1"/>
  <c r="B44" i="1"/>
  <c r="G44" i="1"/>
  <c r="G40" i="1"/>
  <c r="G41" i="1"/>
  <c r="G46" i="1"/>
  <c r="H44" i="1" l="1"/>
  <c r="D30" i="1" s="1"/>
  <c r="H42" i="1"/>
  <c r="D28" i="1" s="1"/>
  <c r="H40" i="1"/>
  <c r="D26" i="1" s="1"/>
  <c r="H43" i="1"/>
  <c r="D29" i="1" s="1"/>
  <c r="H41" i="1"/>
  <c r="D27" i="1" s="1"/>
  <c r="H39" i="1"/>
  <c r="D25" i="1" s="1"/>
  <c r="B46" i="1"/>
  <c r="C44" i="1"/>
  <c r="D44" i="1" s="1"/>
  <c r="C40" i="1"/>
  <c r="C43" i="1"/>
  <c r="C42" i="1"/>
  <c r="C41" i="1"/>
  <c r="H46" i="1" l="1"/>
  <c r="D32" i="1" s="1"/>
  <c r="H45" i="1"/>
  <c r="D31" i="1" s="1"/>
  <c r="D39" i="1"/>
  <c r="E39" i="1" s="1"/>
  <c r="E44" i="1"/>
  <c r="D42" i="1"/>
  <c r="E42" i="1" s="1"/>
  <c r="D40" i="1"/>
  <c r="E40" i="1" s="1"/>
  <c r="C46" i="1"/>
  <c r="B47" i="1"/>
  <c r="B48" i="1"/>
  <c r="D43" i="1"/>
  <c r="E43" i="1" s="1"/>
  <c r="D41" i="1"/>
  <c r="E41" i="1" s="1"/>
  <c r="D45" i="1"/>
  <c r="E45" i="1" s="1"/>
  <c r="H48" i="1" l="1"/>
  <c r="D34" i="1" s="1"/>
  <c r="H47" i="1"/>
  <c r="D33" i="1" s="1"/>
  <c r="D46" i="1"/>
  <c r="E46" i="1" s="1"/>
  <c r="C48" i="1"/>
  <c r="C47" i="1"/>
  <c r="D48" i="1" l="1"/>
  <c r="E48" i="1" s="1"/>
  <c r="D47" i="1"/>
  <c r="E47" i="1" s="1"/>
  <c r="B21" i="1" l="1"/>
</calcChain>
</file>

<file path=xl/sharedStrings.xml><?xml version="1.0" encoding="utf-8"?>
<sst xmlns="http://schemas.openxmlformats.org/spreadsheetml/2006/main" count="58" uniqueCount="46">
  <si>
    <t>Data from RIT</t>
  </si>
  <si>
    <t>Time Remaining (in RIT)</t>
  </si>
  <si>
    <t>&lt;-- =RTD("rit2.rtd",,"TIMEREMAINING")</t>
  </si>
  <si>
    <t>Current Stock Price</t>
  </si>
  <si>
    <t>&lt;-- =RTD("rit2.rtd",,"RTM","LAST")</t>
  </si>
  <si>
    <t>Days remaining</t>
  </si>
  <si>
    <t>Options' Time to maturity (in years)</t>
  </si>
  <si>
    <t>Risk-Free Interest Rate</t>
  </si>
  <si>
    <t>Implied Volatility</t>
  </si>
  <si>
    <t xml:space="preserve">Options </t>
  </si>
  <si>
    <t>Strike</t>
  </si>
  <si>
    <t>RTM48C</t>
  </si>
  <si>
    <t>RTM48P</t>
  </si>
  <si>
    <t>RTM49C</t>
  </si>
  <si>
    <t>RTM49P</t>
  </si>
  <si>
    <t>RTM50C</t>
  </si>
  <si>
    <t>RTM50P</t>
  </si>
  <si>
    <t>RTM51C</t>
  </si>
  <si>
    <t>RTM51P</t>
  </si>
  <si>
    <t>RTM52C</t>
  </si>
  <si>
    <t>RTM52P</t>
  </si>
  <si>
    <t>Option Last Prices
Linked to the RIT</t>
  </si>
  <si>
    <t>Theoretical Prices according to BS Model</t>
  </si>
  <si>
    <r>
      <t>d</t>
    </r>
    <r>
      <rPr>
        <b/>
        <vertAlign val="subscript"/>
        <sz val="12"/>
        <rFont val="Times New Roman"/>
        <family val="1"/>
      </rPr>
      <t>1</t>
    </r>
  </si>
  <si>
    <r>
      <t>d</t>
    </r>
    <r>
      <rPr>
        <b/>
        <vertAlign val="subscript"/>
        <sz val="12"/>
        <rFont val="Times New Roman"/>
        <family val="1"/>
      </rPr>
      <t>2</t>
    </r>
  </si>
  <si>
    <t>&lt;-- =B12/240</t>
  </si>
  <si>
    <t>Black-Scholes Option Pricing Assumptions</t>
  </si>
  <si>
    <t>Implied Volatility using last prices</t>
  </si>
  <si>
    <t>Calculation of the Portfolio's Delta</t>
  </si>
  <si>
    <t>Position</t>
  </si>
  <si>
    <t>Delta from options</t>
  </si>
  <si>
    <t>RTM</t>
  </si>
  <si>
    <t>Portfolio's Delta</t>
  </si>
  <si>
    <t>Tick</t>
  </si>
  <si>
    <t>News</t>
  </si>
  <si>
    <t>Time Elapsed</t>
  </si>
  <si>
    <t>Check</t>
  </si>
  <si>
    <t>Beginning of case?</t>
  </si>
  <si>
    <t>Limit for Delta</t>
  </si>
  <si>
    <t>&lt;-- the cell to the left has to be updated once a news is received.</t>
  </si>
  <si>
    <r>
      <t>d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 xml:space="preserve">calculated with implied volatility </t>
    </r>
  </si>
  <si>
    <t>Volatility</t>
  </si>
  <si>
    <t>1,1,W</t>
  </si>
  <si>
    <t>&lt;-- =ROUNDUP(B7/15,0)</t>
  </si>
  <si>
    <t>Fine rate</t>
  </si>
  <si>
    <t>Decision Support Sheet Template for RITCx Volatility Trading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</si>
</sst>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"/>
    <numFmt numFmtId="167" formatCode="0.0%"/>
    <numFmt numFmtId="168" formatCode="0.000"/>
    <numFmt numFmtId="169" formatCode="_-* #,##0_-;\-* #,##0_-;_-* &quot;-&quot;??_-;_-@_-"/>
    <numFmt numFmtId="170" formatCode="0.0000000000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84">
    <xf numFmtId="0" fontId="0" fillId="0" borderId="0" xfId="0"/>
    <xf numFmtId="0" fontId="3" fillId="2" borderId="0" xfId="3" applyFont="1" applyFill="1" applyAlignment="1">
      <alignment horizontal="left"/>
    </xf>
    <xf numFmtId="0" fontId="2" fillId="2" borderId="0" xfId="0" applyFont="1" applyFill="1"/>
    <xf numFmtId="0" fontId="4" fillId="2" borderId="0" xfId="0" applyFont="1" applyFill="1" applyAlignment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164" fontId="2" fillId="2" borderId="0" xfId="1" applyFont="1" applyFill="1" applyBorder="1" applyProtection="1">
      <protection locked="0"/>
    </xf>
    <xf numFmtId="0" fontId="2" fillId="2" borderId="0" xfId="0" applyFont="1" applyFill="1" applyAlignment="1">
      <alignment horizontal="left"/>
    </xf>
    <xf numFmtId="166" fontId="2" fillId="2" borderId="0" xfId="0" applyNumberFormat="1" applyFont="1" applyFill="1" applyProtection="1">
      <protection locked="0"/>
    </xf>
    <xf numFmtId="10" fontId="2" fillId="2" borderId="0" xfId="2" applyNumberFormat="1" applyFont="1" applyFill="1" applyBorder="1" applyProtection="1">
      <protection locked="0"/>
    </xf>
    <xf numFmtId="167" fontId="2" fillId="2" borderId="0" xfId="2" applyNumberFormat="1" applyFont="1" applyFill="1" applyBorder="1" applyProtection="1">
      <protection locked="0"/>
    </xf>
    <xf numFmtId="37" fontId="2" fillId="2" borderId="0" xfId="0" applyNumberFormat="1" applyFont="1" applyFill="1"/>
    <xf numFmtId="0" fontId="4" fillId="2" borderId="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2" fontId="2" fillId="2" borderId="0" xfId="1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166" fontId="2" fillId="4" borderId="5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164" fontId="2" fillId="4" borderId="4" xfId="1" applyFont="1" applyFill="1" applyBorder="1" applyProtection="1">
      <protection locked="0"/>
    </xf>
    <xf numFmtId="168" fontId="2" fillId="4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/>
    <xf numFmtId="0" fontId="4" fillId="3" borderId="7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166" fontId="4" fillId="2" borderId="6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69" fontId="4" fillId="2" borderId="6" xfId="4" applyNumberFormat="1" applyFont="1" applyFill="1" applyBorder="1" applyAlignment="1">
      <alignment horizontal="left" vertical="center"/>
    </xf>
    <xf numFmtId="165" fontId="2" fillId="4" borderId="0" xfId="4" applyFont="1" applyFill="1" applyBorder="1" applyAlignment="1">
      <alignment horizontal="center" vertical="center"/>
    </xf>
    <xf numFmtId="165" fontId="2" fillId="4" borderId="2" xfId="4" applyFont="1" applyFill="1" applyBorder="1" applyAlignment="1">
      <alignment horizontal="center" vertical="center"/>
    </xf>
    <xf numFmtId="165" fontId="2" fillId="2" borderId="0" xfId="4" applyFont="1" applyFill="1" applyBorder="1" applyAlignment="1">
      <alignment horizontal="center" vertical="center"/>
    </xf>
    <xf numFmtId="165" fontId="2" fillId="2" borderId="2" xfId="4" applyFont="1" applyFill="1" applyBorder="1" applyAlignment="1">
      <alignment horizontal="center" vertical="center"/>
    </xf>
    <xf numFmtId="165" fontId="2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165" fontId="6" fillId="2" borderId="8" xfId="4" applyFont="1" applyFill="1" applyBorder="1" applyAlignment="1">
      <alignment horizontal="left" vertical="center"/>
    </xf>
    <xf numFmtId="166" fontId="2" fillId="2" borderId="2" xfId="2" applyNumberFormat="1" applyFont="1" applyFill="1" applyBorder="1" applyAlignment="1">
      <alignment horizontal="center"/>
    </xf>
    <xf numFmtId="166" fontId="2" fillId="4" borderId="2" xfId="2" applyNumberFormat="1" applyFont="1" applyFill="1" applyBorder="1" applyAlignment="1">
      <alignment horizontal="center"/>
    </xf>
    <xf numFmtId="166" fontId="2" fillId="4" borderId="4" xfId="2" applyNumberFormat="1" applyFont="1" applyFill="1" applyBorder="1" applyAlignment="1">
      <alignment horizontal="center"/>
    </xf>
    <xf numFmtId="168" fontId="2" fillId="2" borderId="2" xfId="0" applyNumberFormat="1" applyFont="1" applyFill="1" applyBorder="1"/>
    <xf numFmtId="168" fontId="2" fillId="4" borderId="2" xfId="0" applyNumberFormat="1" applyFont="1" applyFill="1" applyBorder="1" applyProtection="1">
      <protection locked="0"/>
    </xf>
    <xf numFmtId="10" fontId="2" fillId="4" borderId="4" xfId="2" applyNumberFormat="1" applyFont="1" applyFill="1" applyBorder="1" applyProtection="1">
      <protection locked="0"/>
    </xf>
    <xf numFmtId="10" fontId="2" fillId="2" borderId="0" xfId="2" applyNumberFormat="1" applyFont="1" applyFill="1" applyBorder="1" applyAlignment="1">
      <alignment horizontal="center"/>
    </xf>
    <xf numFmtId="10" fontId="2" fillId="4" borderId="0" xfId="2" applyNumberFormat="1" applyFont="1" applyFill="1" applyBorder="1" applyAlignment="1">
      <alignment horizontal="center"/>
    </xf>
    <xf numFmtId="10" fontId="2" fillId="4" borderId="5" xfId="2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/>
    <xf numFmtId="10" fontId="2" fillId="2" borderId="0" xfId="2" applyNumberFormat="1" applyFont="1" applyFill="1" applyBorder="1"/>
    <xf numFmtId="0" fontId="2" fillId="2" borderId="2" xfId="4" applyNumberFormat="1" applyFont="1" applyFill="1" applyBorder="1" applyAlignment="1">
      <alignment horizontal="center" vertical="center"/>
    </xf>
    <xf numFmtId="0" fontId="2" fillId="4" borderId="2" xfId="4" applyNumberFormat="1" applyFont="1" applyFill="1" applyBorder="1" applyAlignment="1">
      <alignment horizontal="center" vertical="center"/>
    </xf>
    <xf numFmtId="0" fontId="2" fillId="4" borderId="4" xfId="4" applyNumberFormat="1" applyFont="1" applyFill="1" applyBorder="1" applyAlignment="1">
      <alignment horizontal="center" vertical="center"/>
    </xf>
    <xf numFmtId="1" fontId="2" fillId="2" borderId="10" xfId="0" applyNumberFormat="1" applyFont="1" applyFill="1" applyBorder="1"/>
    <xf numFmtId="167" fontId="0" fillId="0" borderId="0" xfId="0" applyNumberFormat="1" applyAlignment="1">
      <alignment horizontal="center" vertical="center"/>
    </xf>
    <xf numFmtId="0" fontId="4" fillId="3" borderId="7" xfId="0" applyFont="1" applyFill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167" fontId="2" fillId="3" borderId="6" xfId="2" applyNumberFormat="1" applyFont="1" applyFill="1" applyBorder="1" applyAlignment="1" applyProtection="1">
      <alignment horizontal="center" vertical="center" wrapText="1"/>
      <protection locked="0"/>
    </xf>
    <xf numFmtId="167" fontId="2" fillId="3" borderId="8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2" fontId="2" fillId="2" borderId="0" xfId="0" applyNumberFormat="1" applyFont="1" applyFill="1" applyAlignment="1">
      <alignment horizontal="center" vertical="center"/>
    </xf>
    <xf numFmtId="164" fontId="2" fillId="2" borderId="0" xfId="1" applyFont="1" applyFill="1" applyAlignment="1">
      <alignment horizontal="center"/>
    </xf>
  </cellXfs>
  <cellStyles count="5">
    <cellStyle name="Comma" xfId="4" builtinId="3"/>
    <cellStyle name="Currency" xfId="1" builtinId="4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</stp>
        <stp>POSITION</stp>
        <tr r="C24" s="1"/>
      </tp>
      <tp>
        <v>300</v>
        <stp/>
        <stp>TIMEREMAINING</stp>
        <tr r="B7" s="1"/>
        <tr r="K3" s="2"/>
      </tp>
      <tp t="s">
        <v>LATESTNEWS|1</v>
        <stp/>
        <stp>LATESTNEWS</stp>
        <stp>1</stp>
        <tr r="I2" s="2"/>
      </tp>
      <tp>
        <v>0</v>
        <stp/>
        <stp>RTM52P</stp>
        <stp>LAST</stp>
        <tr r="F48" s="1"/>
      </tp>
      <tp>
        <v>0</v>
        <stp/>
        <stp>RTM52C</stp>
        <stp>LAST</stp>
        <tr r="F47" s="1"/>
      </tp>
      <tp>
        <v>0</v>
        <stp/>
        <stp>RTM51P</stp>
        <stp>LAST</stp>
        <tr r="F46" s="1"/>
      </tp>
      <tp>
        <v>0</v>
        <stp/>
        <stp>RTM51C</stp>
        <stp>LAST</stp>
        <tr r="F45" s="1"/>
      </tp>
      <tp>
        <v>0</v>
        <stp/>
        <stp>RTM50P</stp>
        <stp>LAST</stp>
        <tr r="F44" s="1"/>
      </tp>
      <tp>
        <v>0</v>
        <stp/>
        <stp>RTM50C</stp>
        <stp>LAST</stp>
        <tr r="F43" s="1"/>
      </tp>
      <tp>
        <v>0</v>
        <stp/>
        <stp>RTM49P</stp>
        <stp>LAST</stp>
        <tr r="F42" s="1"/>
      </tp>
      <tp>
        <v>0</v>
        <stp/>
        <stp>RTM49C</stp>
        <stp>LAST</stp>
        <tr r="F41" s="1"/>
      </tp>
      <tp>
        <v>0</v>
        <stp/>
        <stp>RTM48P</stp>
        <stp>LAST</stp>
        <tr r="F40" s="1"/>
      </tp>
      <tp>
        <v>0</v>
        <stp/>
        <stp>RTM48C</stp>
        <stp>LAST</stp>
        <tr r="F39" s="1"/>
      </tp>
      <tp>
        <v>0</v>
        <stp/>
        <stp>RTM</stp>
        <stp>LAST</stp>
        <tr r="B8" s="1"/>
      </tp>
      <tp>
        <v>0</v>
        <stp/>
        <stp>RTM50P</stp>
        <stp>POSITION</stp>
        <tr r="C30" s="1"/>
      </tp>
      <tp>
        <v>0</v>
        <stp/>
        <stp>RTM50C</stp>
        <stp>POSITION</stp>
        <tr r="C29" s="1"/>
      </tp>
      <tp>
        <v>0</v>
        <stp/>
        <stp>RTM51P</stp>
        <stp>POSITION</stp>
        <tr r="C32" s="1"/>
      </tp>
      <tp>
        <v>0</v>
        <stp/>
        <stp>RTM51C</stp>
        <stp>POSITION</stp>
        <tr r="C31" s="1"/>
      </tp>
      <tp>
        <v>0</v>
        <stp/>
        <stp>RTM52P</stp>
        <stp>POSITION</stp>
        <tr r="C34" s="1"/>
      </tp>
      <tp>
        <v>0</v>
        <stp/>
        <stp>RTM52C</stp>
        <stp>POSITION</stp>
        <tr r="C33" s="1"/>
      </tp>
      <tp>
        <v>0</v>
        <stp/>
        <stp>RTM48P</stp>
        <stp>POSITION</stp>
        <tr r="C26" s="1"/>
      </tp>
      <tp>
        <v>0</v>
        <stp/>
        <stp>RTM48C</stp>
        <stp>POSITION</stp>
        <tr r="C25" s="1"/>
      </tp>
      <tp>
        <v>0</v>
        <stp/>
        <stp>RTM49P</stp>
        <stp>POSITION</stp>
        <tr r="C28" s="1"/>
      </tp>
      <tp>
        <v>0</v>
        <stp/>
        <stp>RTM49C</stp>
        <stp>POSITION</stp>
        <tr r="C2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volatileDependencies" Target="volatileDependencie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upper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Data'!$D$2:$D$601</c:f>
              <c:numCache>
                <c:formatCode>General</c:formatCode>
                <c:ptCount val="600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  <c:pt idx="12">
                  <c:v>7000</c:v>
                </c:pt>
                <c:pt idx="13">
                  <c:v>7000</c:v>
                </c:pt>
                <c:pt idx="14">
                  <c:v>7000</c:v>
                </c:pt>
                <c:pt idx="15">
                  <c:v>7000</c:v>
                </c:pt>
                <c:pt idx="16">
                  <c:v>7000</c:v>
                </c:pt>
                <c:pt idx="17">
                  <c:v>7000</c:v>
                </c:pt>
                <c:pt idx="18">
                  <c:v>7000</c:v>
                </c:pt>
                <c:pt idx="19">
                  <c:v>7000</c:v>
                </c:pt>
                <c:pt idx="20">
                  <c:v>7000</c:v>
                </c:pt>
                <c:pt idx="21">
                  <c:v>7000</c:v>
                </c:pt>
                <c:pt idx="22">
                  <c:v>7000</c:v>
                </c:pt>
                <c:pt idx="23">
                  <c:v>7000</c:v>
                </c:pt>
                <c:pt idx="24">
                  <c:v>7000</c:v>
                </c:pt>
                <c:pt idx="25">
                  <c:v>7000</c:v>
                </c:pt>
                <c:pt idx="26">
                  <c:v>7000</c:v>
                </c:pt>
                <c:pt idx="27">
                  <c:v>7000</c:v>
                </c:pt>
                <c:pt idx="28">
                  <c:v>7000</c:v>
                </c:pt>
                <c:pt idx="29">
                  <c:v>7000</c:v>
                </c:pt>
                <c:pt idx="30">
                  <c:v>7000</c:v>
                </c:pt>
                <c:pt idx="31">
                  <c:v>7000</c:v>
                </c:pt>
                <c:pt idx="32">
                  <c:v>7000</c:v>
                </c:pt>
                <c:pt idx="33">
                  <c:v>7000</c:v>
                </c:pt>
                <c:pt idx="34">
                  <c:v>7000</c:v>
                </c:pt>
                <c:pt idx="35">
                  <c:v>7000</c:v>
                </c:pt>
                <c:pt idx="36">
                  <c:v>7000</c:v>
                </c:pt>
                <c:pt idx="37">
                  <c:v>7000</c:v>
                </c:pt>
                <c:pt idx="38">
                  <c:v>7000</c:v>
                </c:pt>
                <c:pt idx="39">
                  <c:v>7000</c:v>
                </c:pt>
                <c:pt idx="40">
                  <c:v>7000</c:v>
                </c:pt>
                <c:pt idx="41">
                  <c:v>7000</c:v>
                </c:pt>
                <c:pt idx="42">
                  <c:v>7000</c:v>
                </c:pt>
                <c:pt idx="43">
                  <c:v>7000</c:v>
                </c:pt>
                <c:pt idx="44">
                  <c:v>7000</c:v>
                </c:pt>
                <c:pt idx="45">
                  <c:v>7000</c:v>
                </c:pt>
                <c:pt idx="46">
                  <c:v>7000</c:v>
                </c:pt>
                <c:pt idx="47">
                  <c:v>7000</c:v>
                </c:pt>
                <c:pt idx="48">
                  <c:v>7000</c:v>
                </c:pt>
                <c:pt idx="49">
                  <c:v>7000</c:v>
                </c:pt>
                <c:pt idx="50">
                  <c:v>7000</c:v>
                </c:pt>
                <c:pt idx="51">
                  <c:v>7000</c:v>
                </c:pt>
                <c:pt idx="52">
                  <c:v>7000</c:v>
                </c:pt>
                <c:pt idx="53">
                  <c:v>7000</c:v>
                </c:pt>
                <c:pt idx="54">
                  <c:v>7000</c:v>
                </c:pt>
                <c:pt idx="55">
                  <c:v>7000</c:v>
                </c:pt>
                <c:pt idx="56">
                  <c:v>7000</c:v>
                </c:pt>
                <c:pt idx="57">
                  <c:v>7000</c:v>
                </c:pt>
                <c:pt idx="58">
                  <c:v>7000</c:v>
                </c:pt>
                <c:pt idx="59">
                  <c:v>7000</c:v>
                </c:pt>
                <c:pt idx="60">
                  <c:v>7000</c:v>
                </c:pt>
                <c:pt idx="61">
                  <c:v>7000</c:v>
                </c:pt>
                <c:pt idx="62">
                  <c:v>7000</c:v>
                </c:pt>
                <c:pt idx="63">
                  <c:v>7000</c:v>
                </c:pt>
                <c:pt idx="64">
                  <c:v>7000</c:v>
                </c:pt>
                <c:pt idx="65">
                  <c:v>7000</c:v>
                </c:pt>
                <c:pt idx="66">
                  <c:v>7000</c:v>
                </c:pt>
                <c:pt idx="67">
                  <c:v>7000</c:v>
                </c:pt>
                <c:pt idx="68">
                  <c:v>7000</c:v>
                </c:pt>
                <c:pt idx="69">
                  <c:v>7000</c:v>
                </c:pt>
                <c:pt idx="70">
                  <c:v>7000</c:v>
                </c:pt>
                <c:pt idx="71">
                  <c:v>7000</c:v>
                </c:pt>
                <c:pt idx="72">
                  <c:v>7000</c:v>
                </c:pt>
                <c:pt idx="73">
                  <c:v>7000</c:v>
                </c:pt>
                <c:pt idx="74">
                  <c:v>7000</c:v>
                </c:pt>
                <c:pt idx="75">
                  <c:v>7000</c:v>
                </c:pt>
                <c:pt idx="76">
                  <c:v>7000</c:v>
                </c:pt>
                <c:pt idx="77">
                  <c:v>7000</c:v>
                </c:pt>
                <c:pt idx="78">
                  <c:v>7000</c:v>
                </c:pt>
                <c:pt idx="79">
                  <c:v>7000</c:v>
                </c:pt>
                <c:pt idx="80">
                  <c:v>7000</c:v>
                </c:pt>
                <c:pt idx="81">
                  <c:v>7000</c:v>
                </c:pt>
                <c:pt idx="82">
                  <c:v>7000</c:v>
                </c:pt>
                <c:pt idx="83">
                  <c:v>7000</c:v>
                </c:pt>
                <c:pt idx="84">
                  <c:v>7000</c:v>
                </c:pt>
                <c:pt idx="85">
                  <c:v>7000</c:v>
                </c:pt>
                <c:pt idx="86">
                  <c:v>7000</c:v>
                </c:pt>
                <c:pt idx="87">
                  <c:v>7000</c:v>
                </c:pt>
                <c:pt idx="88">
                  <c:v>7000</c:v>
                </c:pt>
                <c:pt idx="89">
                  <c:v>7000</c:v>
                </c:pt>
                <c:pt idx="90">
                  <c:v>7000</c:v>
                </c:pt>
                <c:pt idx="91">
                  <c:v>7000</c:v>
                </c:pt>
                <c:pt idx="92">
                  <c:v>7000</c:v>
                </c:pt>
                <c:pt idx="93">
                  <c:v>7000</c:v>
                </c:pt>
                <c:pt idx="94">
                  <c:v>7000</c:v>
                </c:pt>
                <c:pt idx="95">
                  <c:v>7000</c:v>
                </c:pt>
                <c:pt idx="96">
                  <c:v>7000</c:v>
                </c:pt>
                <c:pt idx="97">
                  <c:v>7000</c:v>
                </c:pt>
                <c:pt idx="98">
                  <c:v>7000</c:v>
                </c:pt>
                <c:pt idx="99">
                  <c:v>7000</c:v>
                </c:pt>
                <c:pt idx="100">
                  <c:v>7000</c:v>
                </c:pt>
                <c:pt idx="101">
                  <c:v>7000</c:v>
                </c:pt>
                <c:pt idx="102">
                  <c:v>7000</c:v>
                </c:pt>
                <c:pt idx="103">
                  <c:v>7000</c:v>
                </c:pt>
                <c:pt idx="104">
                  <c:v>7000</c:v>
                </c:pt>
                <c:pt idx="105">
                  <c:v>7000</c:v>
                </c:pt>
                <c:pt idx="106">
                  <c:v>7000</c:v>
                </c:pt>
                <c:pt idx="107">
                  <c:v>7000</c:v>
                </c:pt>
                <c:pt idx="108">
                  <c:v>7000</c:v>
                </c:pt>
                <c:pt idx="109">
                  <c:v>7000</c:v>
                </c:pt>
                <c:pt idx="110">
                  <c:v>7000</c:v>
                </c:pt>
                <c:pt idx="111">
                  <c:v>7000</c:v>
                </c:pt>
                <c:pt idx="112">
                  <c:v>7000</c:v>
                </c:pt>
                <c:pt idx="113">
                  <c:v>7000</c:v>
                </c:pt>
                <c:pt idx="114">
                  <c:v>7000</c:v>
                </c:pt>
                <c:pt idx="115">
                  <c:v>7000</c:v>
                </c:pt>
                <c:pt idx="116">
                  <c:v>7000</c:v>
                </c:pt>
                <c:pt idx="117">
                  <c:v>7000</c:v>
                </c:pt>
                <c:pt idx="118">
                  <c:v>7000</c:v>
                </c:pt>
                <c:pt idx="119">
                  <c:v>7000</c:v>
                </c:pt>
                <c:pt idx="120">
                  <c:v>7000</c:v>
                </c:pt>
                <c:pt idx="121">
                  <c:v>7000</c:v>
                </c:pt>
                <c:pt idx="122">
                  <c:v>7000</c:v>
                </c:pt>
                <c:pt idx="123">
                  <c:v>7000</c:v>
                </c:pt>
                <c:pt idx="124">
                  <c:v>7000</c:v>
                </c:pt>
                <c:pt idx="125">
                  <c:v>7000</c:v>
                </c:pt>
                <c:pt idx="126">
                  <c:v>7000</c:v>
                </c:pt>
                <c:pt idx="127">
                  <c:v>7000</c:v>
                </c:pt>
                <c:pt idx="128">
                  <c:v>7000</c:v>
                </c:pt>
                <c:pt idx="129">
                  <c:v>7000</c:v>
                </c:pt>
                <c:pt idx="130">
                  <c:v>7000</c:v>
                </c:pt>
                <c:pt idx="131">
                  <c:v>7000</c:v>
                </c:pt>
                <c:pt idx="132">
                  <c:v>7000</c:v>
                </c:pt>
                <c:pt idx="133">
                  <c:v>7000</c:v>
                </c:pt>
                <c:pt idx="134">
                  <c:v>7000</c:v>
                </c:pt>
                <c:pt idx="135">
                  <c:v>7000</c:v>
                </c:pt>
                <c:pt idx="136">
                  <c:v>7000</c:v>
                </c:pt>
                <c:pt idx="137">
                  <c:v>7000</c:v>
                </c:pt>
                <c:pt idx="138">
                  <c:v>7000</c:v>
                </c:pt>
                <c:pt idx="139">
                  <c:v>7000</c:v>
                </c:pt>
                <c:pt idx="140">
                  <c:v>7000</c:v>
                </c:pt>
                <c:pt idx="141">
                  <c:v>7000</c:v>
                </c:pt>
                <c:pt idx="142">
                  <c:v>7000</c:v>
                </c:pt>
                <c:pt idx="143">
                  <c:v>7000</c:v>
                </c:pt>
                <c:pt idx="144">
                  <c:v>7000</c:v>
                </c:pt>
                <c:pt idx="145">
                  <c:v>7000</c:v>
                </c:pt>
                <c:pt idx="146">
                  <c:v>7000</c:v>
                </c:pt>
                <c:pt idx="147">
                  <c:v>7000</c:v>
                </c:pt>
                <c:pt idx="148">
                  <c:v>7000</c:v>
                </c:pt>
                <c:pt idx="149">
                  <c:v>7000</c:v>
                </c:pt>
                <c:pt idx="150">
                  <c:v>7000</c:v>
                </c:pt>
                <c:pt idx="151">
                  <c:v>7000</c:v>
                </c:pt>
                <c:pt idx="152">
                  <c:v>7000</c:v>
                </c:pt>
                <c:pt idx="153">
                  <c:v>7000</c:v>
                </c:pt>
                <c:pt idx="154">
                  <c:v>7000</c:v>
                </c:pt>
                <c:pt idx="155">
                  <c:v>7000</c:v>
                </c:pt>
                <c:pt idx="156">
                  <c:v>7000</c:v>
                </c:pt>
                <c:pt idx="157">
                  <c:v>7000</c:v>
                </c:pt>
                <c:pt idx="158">
                  <c:v>7000</c:v>
                </c:pt>
                <c:pt idx="159">
                  <c:v>7000</c:v>
                </c:pt>
                <c:pt idx="160">
                  <c:v>7000</c:v>
                </c:pt>
                <c:pt idx="161">
                  <c:v>7000</c:v>
                </c:pt>
                <c:pt idx="162">
                  <c:v>7000</c:v>
                </c:pt>
                <c:pt idx="163">
                  <c:v>7000</c:v>
                </c:pt>
                <c:pt idx="164">
                  <c:v>7000</c:v>
                </c:pt>
                <c:pt idx="165">
                  <c:v>7000</c:v>
                </c:pt>
                <c:pt idx="166">
                  <c:v>7000</c:v>
                </c:pt>
                <c:pt idx="167">
                  <c:v>7000</c:v>
                </c:pt>
                <c:pt idx="168">
                  <c:v>7000</c:v>
                </c:pt>
                <c:pt idx="169">
                  <c:v>7000</c:v>
                </c:pt>
                <c:pt idx="170">
                  <c:v>7000</c:v>
                </c:pt>
                <c:pt idx="171">
                  <c:v>7000</c:v>
                </c:pt>
                <c:pt idx="172">
                  <c:v>7000</c:v>
                </c:pt>
                <c:pt idx="173">
                  <c:v>7000</c:v>
                </c:pt>
                <c:pt idx="174">
                  <c:v>7000</c:v>
                </c:pt>
                <c:pt idx="175">
                  <c:v>7000</c:v>
                </c:pt>
                <c:pt idx="176">
                  <c:v>7000</c:v>
                </c:pt>
                <c:pt idx="177">
                  <c:v>7000</c:v>
                </c:pt>
                <c:pt idx="178">
                  <c:v>7000</c:v>
                </c:pt>
                <c:pt idx="179">
                  <c:v>7000</c:v>
                </c:pt>
                <c:pt idx="180">
                  <c:v>7000</c:v>
                </c:pt>
                <c:pt idx="181">
                  <c:v>7000</c:v>
                </c:pt>
                <c:pt idx="182">
                  <c:v>7000</c:v>
                </c:pt>
                <c:pt idx="183">
                  <c:v>7000</c:v>
                </c:pt>
                <c:pt idx="184">
                  <c:v>7000</c:v>
                </c:pt>
                <c:pt idx="185">
                  <c:v>7000</c:v>
                </c:pt>
                <c:pt idx="186">
                  <c:v>7000</c:v>
                </c:pt>
                <c:pt idx="187">
                  <c:v>7000</c:v>
                </c:pt>
                <c:pt idx="188">
                  <c:v>7000</c:v>
                </c:pt>
                <c:pt idx="189">
                  <c:v>7000</c:v>
                </c:pt>
                <c:pt idx="190">
                  <c:v>7000</c:v>
                </c:pt>
                <c:pt idx="191">
                  <c:v>7000</c:v>
                </c:pt>
                <c:pt idx="192">
                  <c:v>7000</c:v>
                </c:pt>
                <c:pt idx="193">
                  <c:v>7000</c:v>
                </c:pt>
                <c:pt idx="194">
                  <c:v>7000</c:v>
                </c:pt>
                <c:pt idx="195">
                  <c:v>7000</c:v>
                </c:pt>
                <c:pt idx="196">
                  <c:v>7000</c:v>
                </c:pt>
                <c:pt idx="197">
                  <c:v>7000</c:v>
                </c:pt>
                <c:pt idx="198">
                  <c:v>7000</c:v>
                </c:pt>
                <c:pt idx="199">
                  <c:v>7000</c:v>
                </c:pt>
                <c:pt idx="200">
                  <c:v>7000</c:v>
                </c:pt>
                <c:pt idx="201">
                  <c:v>7000</c:v>
                </c:pt>
                <c:pt idx="202">
                  <c:v>7000</c:v>
                </c:pt>
                <c:pt idx="203">
                  <c:v>7000</c:v>
                </c:pt>
                <c:pt idx="204">
                  <c:v>7000</c:v>
                </c:pt>
                <c:pt idx="205">
                  <c:v>7000</c:v>
                </c:pt>
                <c:pt idx="206">
                  <c:v>7000</c:v>
                </c:pt>
                <c:pt idx="207">
                  <c:v>7000</c:v>
                </c:pt>
                <c:pt idx="208">
                  <c:v>7000</c:v>
                </c:pt>
                <c:pt idx="209">
                  <c:v>7000</c:v>
                </c:pt>
                <c:pt idx="210">
                  <c:v>7000</c:v>
                </c:pt>
                <c:pt idx="211">
                  <c:v>7000</c:v>
                </c:pt>
                <c:pt idx="212">
                  <c:v>7000</c:v>
                </c:pt>
                <c:pt idx="213">
                  <c:v>7000</c:v>
                </c:pt>
                <c:pt idx="214">
                  <c:v>7000</c:v>
                </c:pt>
                <c:pt idx="215">
                  <c:v>7000</c:v>
                </c:pt>
                <c:pt idx="216">
                  <c:v>7000</c:v>
                </c:pt>
                <c:pt idx="217">
                  <c:v>7000</c:v>
                </c:pt>
                <c:pt idx="218">
                  <c:v>7000</c:v>
                </c:pt>
                <c:pt idx="219">
                  <c:v>7000</c:v>
                </c:pt>
                <c:pt idx="220">
                  <c:v>7000</c:v>
                </c:pt>
                <c:pt idx="221">
                  <c:v>7000</c:v>
                </c:pt>
                <c:pt idx="222">
                  <c:v>7000</c:v>
                </c:pt>
                <c:pt idx="223">
                  <c:v>7000</c:v>
                </c:pt>
                <c:pt idx="224">
                  <c:v>7000</c:v>
                </c:pt>
                <c:pt idx="225">
                  <c:v>7000</c:v>
                </c:pt>
                <c:pt idx="226">
                  <c:v>7000</c:v>
                </c:pt>
                <c:pt idx="227">
                  <c:v>7000</c:v>
                </c:pt>
                <c:pt idx="228">
                  <c:v>7000</c:v>
                </c:pt>
                <c:pt idx="229">
                  <c:v>7000</c:v>
                </c:pt>
                <c:pt idx="230">
                  <c:v>7000</c:v>
                </c:pt>
                <c:pt idx="231">
                  <c:v>7000</c:v>
                </c:pt>
                <c:pt idx="232">
                  <c:v>7000</c:v>
                </c:pt>
                <c:pt idx="233">
                  <c:v>7000</c:v>
                </c:pt>
                <c:pt idx="234">
                  <c:v>7000</c:v>
                </c:pt>
                <c:pt idx="235">
                  <c:v>7000</c:v>
                </c:pt>
                <c:pt idx="236">
                  <c:v>7000</c:v>
                </c:pt>
                <c:pt idx="237">
                  <c:v>7000</c:v>
                </c:pt>
                <c:pt idx="238">
                  <c:v>7000</c:v>
                </c:pt>
                <c:pt idx="239">
                  <c:v>7000</c:v>
                </c:pt>
                <c:pt idx="240">
                  <c:v>7000</c:v>
                </c:pt>
                <c:pt idx="241">
                  <c:v>7000</c:v>
                </c:pt>
                <c:pt idx="242">
                  <c:v>7000</c:v>
                </c:pt>
                <c:pt idx="243">
                  <c:v>7000</c:v>
                </c:pt>
                <c:pt idx="244">
                  <c:v>7000</c:v>
                </c:pt>
                <c:pt idx="245">
                  <c:v>7000</c:v>
                </c:pt>
                <c:pt idx="246">
                  <c:v>7000</c:v>
                </c:pt>
                <c:pt idx="247">
                  <c:v>7000</c:v>
                </c:pt>
                <c:pt idx="248">
                  <c:v>7000</c:v>
                </c:pt>
                <c:pt idx="249">
                  <c:v>7000</c:v>
                </c:pt>
                <c:pt idx="250">
                  <c:v>7000</c:v>
                </c:pt>
                <c:pt idx="251">
                  <c:v>7000</c:v>
                </c:pt>
                <c:pt idx="252">
                  <c:v>7000</c:v>
                </c:pt>
                <c:pt idx="253">
                  <c:v>7000</c:v>
                </c:pt>
                <c:pt idx="254">
                  <c:v>7000</c:v>
                </c:pt>
                <c:pt idx="255">
                  <c:v>7000</c:v>
                </c:pt>
                <c:pt idx="256">
                  <c:v>7000</c:v>
                </c:pt>
                <c:pt idx="257">
                  <c:v>7000</c:v>
                </c:pt>
                <c:pt idx="258">
                  <c:v>7000</c:v>
                </c:pt>
                <c:pt idx="259">
                  <c:v>7000</c:v>
                </c:pt>
                <c:pt idx="260">
                  <c:v>7000</c:v>
                </c:pt>
                <c:pt idx="261">
                  <c:v>7000</c:v>
                </c:pt>
                <c:pt idx="262">
                  <c:v>7000</c:v>
                </c:pt>
                <c:pt idx="263">
                  <c:v>7000</c:v>
                </c:pt>
                <c:pt idx="264">
                  <c:v>7000</c:v>
                </c:pt>
                <c:pt idx="265">
                  <c:v>7000</c:v>
                </c:pt>
                <c:pt idx="266">
                  <c:v>7000</c:v>
                </c:pt>
                <c:pt idx="267">
                  <c:v>7000</c:v>
                </c:pt>
                <c:pt idx="268">
                  <c:v>7000</c:v>
                </c:pt>
                <c:pt idx="269">
                  <c:v>7000</c:v>
                </c:pt>
                <c:pt idx="270">
                  <c:v>7000</c:v>
                </c:pt>
                <c:pt idx="271">
                  <c:v>7000</c:v>
                </c:pt>
                <c:pt idx="272">
                  <c:v>7000</c:v>
                </c:pt>
                <c:pt idx="273">
                  <c:v>7000</c:v>
                </c:pt>
                <c:pt idx="274">
                  <c:v>7000</c:v>
                </c:pt>
                <c:pt idx="275">
                  <c:v>7000</c:v>
                </c:pt>
                <c:pt idx="276">
                  <c:v>7000</c:v>
                </c:pt>
                <c:pt idx="277">
                  <c:v>7000</c:v>
                </c:pt>
                <c:pt idx="278">
                  <c:v>7000</c:v>
                </c:pt>
                <c:pt idx="279">
                  <c:v>7000</c:v>
                </c:pt>
                <c:pt idx="280">
                  <c:v>7000</c:v>
                </c:pt>
                <c:pt idx="281">
                  <c:v>7000</c:v>
                </c:pt>
                <c:pt idx="282">
                  <c:v>7000</c:v>
                </c:pt>
                <c:pt idx="283">
                  <c:v>7000</c:v>
                </c:pt>
                <c:pt idx="284">
                  <c:v>7000</c:v>
                </c:pt>
                <c:pt idx="285">
                  <c:v>7000</c:v>
                </c:pt>
                <c:pt idx="286">
                  <c:v>7000</c:v>
                </c:pt>
                <c:pt idx="287">
                  <c:v>7000</c:v>
                </c:pt>
                <c:pt idx="288">
                  <c:v>7000</c:v>
                </c:pt>
                <c:pt idx="289">
                  <c:v>7000</c:v>
                </c:pt>
                <c:pt idx="290">
                  <c:v>7000</c:v>
                </c:pt>
                <c:pt idx="291">
                  <c:v>7000</c:v>
                </c:pt>
                <c:pt idx="292">
                  <c:v>7000</c:v>
                </c:pt>
                <c:pt idx="293">
                  <c:v>7000</c:v>
                </c:pt>
                <c:pt idx="294">
                  <c:v>7000</c:v>
                </c:pt>
                <c:pt idx="295">
                  <c:v>7000</c:v>
                </c:pt>
                <c:pt idx="296">
                  <c:v>7000</c:v>
                </c:pt>
                <c:pt idx="297">
                  <c:v>7000</c:v>
                </c:pt>
                <c:pt idx="298">
                  <c:v>7000</c:v>
                </c:pt>
                <c:pt idx="299">
                  <c:v>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0-4360-8806-58BA02887DA7}"/>
            </c:ext>
          </c:extLst>
        </c:ser>
        <c:ser>
          <c:idx val="2"/>
          <c:order val="1"/>
          <c:tx>
            <c:v>Lower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Data'!$E$2:$E$601</c:f>
              <c:numCache>
                <c:formatCode>General</c:formatCode>
                <c:ptCount val="600"/>
                <c:pt idx="0">
                  <c:v>-7000</c:v>
                </c:pt>
                <c:pt idx="1">
                  <c:v>-7000</c:v>
                </c:pt>
                <c:pt idx="2">
                  <c:v>-7000</c:v>
                </c:pt>
                <c:pt idx="3">
                  <c:v>-7000</c:v>
                </c:pt>
                <c:pt idx="4">
                  <c:v>-7000</c:v>
                </c:pt>
                <c:pt idx="5">
                  <c:v>-7000</c:v>
                </c:pt>
                <c:pt idx="6">
                  <c:v>-7000</c:v>
                </c:pt>
                <c:pt idx="7">
                  <c:v>-7000</c:v>
                </c:pt>
                <c:pt idx="8">
                  <c:v>-7000</c:v>
                </c:pt>
                <c:pt idx="9">
                  <c:v>-7000</c:v>
                </c:pt>
                <c:pt idx="10">
                  <c:v>-7000</c:v>
                </c:pt>
                <c:pt idx="11">
                  <c:v>-7000</c:v>
                </c:pt>
                <c:pt idx="12">
                  <c:v>-7000</c:v>
                </c:pt>
                <c:pt idx="13">
                  <c:v>-7000</c:v>
                </c:pt>
                <c:pt idx="14">
                  <c:v>-7000</c:v>
                </c:pt>
                <c:pt idx="15">
                  <c:v>-7000</c:v>
                </c:pt>
                <c:pt idx="16">
                  <c:v>-7000</c:v>
                </c:pt>
                <c:pt idx="17">
                  <c:v>-7000</c:v>
                </c:pt>
                <c:pt idx="18">
                  <c:v>-7000</c:v>
                </c:pt>
                <c:pt idx="19">
                  <c:v>-7000</c:v>
                </c:pt>
                <c:pt idx="20">
                  <c:v>-7000</c:v>
                </c:pt>
                <c:pt idx="21">
                  <c:v>-7000</c:v>
                </c:pt>
                <c:pt idx="22">
                  <c:v>-7000</c:v>
                </c:pt>
                <c:pt idx="23">
                  <c:v>-7000</c:v>
                </c:pt>
                <c:pt idx="24">
                  <c:v>-7000</c:v>
                </c:pt>
                <c:pt idx="25">
                  <c:v>-7000</c:v>
                </c:pt>
                <c:pt idx="26">
                  <c:v>-7000</c:v>
                </c:pt>
                <c:pt idx="27">
                  <c:v>-7000</c:v>
                </c:pt>
                <c:pt idx="28">
                  <c:v>-7000</c:v>
                </c:pt>
                <c:pt idx="29">
                  <c:v>-7000</c:v>
                </c:pt>
                <c:pt idx="30">
                  <c:v>-7000</c:v>
                </c:pt>
                <c:pt idx="31">
                  <c:v>-7000</c:v>
                </c:pt>
                <c:pt idx="32">
                  <c:v>-7000</c:v>
                </c:pt>
                <c:pt idx="33">
                  <c:v>-7000</c:v>
                </c:pt>
                <c:pt idx="34">
                  <c:v>-7000</c:v>
                </c:pt>
                <c:pt idx="35">
                  <c:v>-7000</c:v>
                </c:pt>
                <c:pt idx="36">
                  <c:v>-7000</c:v>
                </c:pt>
                <c:pt idx="37">
                  <c:v>-7000</c:v>
                </c:pt>
                <c:pt idx="38">
                  <c:v>-7000</c:v>
                </c:pt>
                <c:pt idx="39">
                  <c:v>-7000</c:v>
                </c:pt>
                <c:pt idx="40">
                  <c:v>-7000</c:v>
                </c:pt>
                <c:pt idx="41">
                  <c:v>-7000</c:v>
                </c:pt>
                <c:pt idx="42">
                  <c:v>-7000</c:v>
                </c:pt>
                <c:pt idx="43">
                  <c:v>-7000</c:v>
                </c:pt>
                <c:pt idx="44">
                  <c:v>-7000</c:v>
                </c:pt>
                <c:pt idx="45">
                  <c:v>-7000</c:v>
                </c:pt>
                <c:pt idx="46">
                  <c:v>-7000</c:v>
                </c:pt>
                <c:pt idx="47">
                  <c:v>-7000</c:v>
                </c:pt>
                <c:pt idx="48">
                  <c:v>-7000</c:v>
                </c:pt>
                <c:pt idx="49">
                  <c:v>-7000</c:v>
                </c:pt>
                <c:pt idx="50">
                  <c:v>-7000</c:v>
                </c:pt>
                <c:pt idx="51">
                  <c:v>-7000</c:v>
                </c:pt>
                <c:pt idx="52">
                  <c:v>-7000</c:v>
                </c:pt>
                <c:pt idx="53">
                  <c:v>-7000</c:v>
                </c:pt>
                <c:pt idx="54">
                  <c:v>-7000</c:v>
                </c:pt>
                <c:pt idx="55">
                  <c:v>-7000</c:v>
                </c:pt>
                <c:pt idx="56">
                  <c:v>-7000</c:v>
                </c:pt>
                <c:pt idx="57">
                  <c:v>-7000</c:v>
                </c:pt>
                <c:pt idx="58">
                  <c:v>-7000</c:v>
                </c:pt>
                <c:pt idx="59">
                  <c:v>-7000</c:v>
                </c:pt>
                <c:pt idx="60">
                  <c:v>-7000</c:v>
                </c:pt>
                <c:pt idx="61">
                  <c:v>-7000</c:v>
                </c:pt>
                <c:pt idx="62">
                  <c:v>-7000</c:v>
                </c:pt>
                <c:pt idx="63">
                  <c:v>-7000</c:v>
                </c:pt>
                <c:pt idx="64">
                  <c:v>-7000</c:v>
                </c:pt>
                <c:pt idx="65">
                  <c:v>-7000</c:v>
                </c:pt>
                <c:pt idx="66">
                  <c:v>-7000</c:v>
                </c:pt>
                <c:pt idx="67">
                  <c:v>-7000</c:v>
                </c:pt>
                <c:pt idx="68">
                  <c:v>-7000</c:v>
                </c:pt>
                <c:pt idx="69">
                  <c:v>-7000</c:v>
                </c:pt>
                <c:pt idx="70">
                  <c:v>-7000</c:v>
                </c:pt>
                <c:pt idx="71">
                  <c:v>-7000</c:v>
                </c:pt>
                <c:pt idx="72">
                  <c:v>-7000</c:v>
                </c:pt>
                <c:pt idx="73">
                  <c:v>-7000</c:v>
                </c:pt>
                <c:pt idx="74">
                  <c:v>-7000</c:v>
                </c:pt>
                <c:pt idx="75">
                  <c:v>-7000</c:v>
                </c:pt>
                <c:pt idx="76">
                  <c:v>-7000</c:v>
                </c:pt>
                <c:pt idx="77">
                  <c:v>-7000</c:v>
                </c:pt>
                <c:pt idx="78">
                  <c:v>-7000</c:v>
                </c:pt>
                <c:pt idx="79">
                  <c:v>-7000</c:v>
                </c:pt>
                <c:pt idx="80">
                  <c:v>-7000</c:v>
                </c:pt>
                <c:pt idx="81">
                  <c:v>-7000</c:v>
                </c:pt>
                <c:pt idx="82">
                  <c:v>-7000</c:v>
                </c:pt>
                <c:pt idx="83">
                  <c:v>-7000</c:v>
                </c:pt>
                <c:pt idx="84">
                  <c:v>-7000</c:v>
                </c:pt>
                <c:pt idx="85">
                  <c:v>-7000</c:v>
                </c:pt>
                <c:pt idx="86">
                  <c:v>-7000</c:v>
                </c:pt>
                <c:pt idx="87">
                  <c:v>-7000</c:v>
                </c:pt>
                <c:pt idx="88">
                  <c:v>-7000</c:v>
                </c:pt>
                <c:pt idx="89">
                  <c:v>-7000</c:v>
                </c:pt>
                <c:pt idx="90">
                  <c:v>-7000</c:v>
                </c:pt>
                <c:pt idx="91">
                  <c:v>-7000</c:v>
                </c:pt>
                <c:pt idx="92">
                  <c:v>-7000</c:v>
                </c:pt>
                <c:pt idx="93">
                  <c:v>-7000</c:v>
                </c:pt>
                <c:pt idx="94">
                  <c:v>-7000</c:v>
                </c:pt>
                <c:pt idx="95">
                  <c:v>-7000</c:v>
                </c:pt>
                <c:pt idx="96">
                  <c:v>-7000</c:v>
                </c:pt>
                <c:pt idx="97">
                  <c:v>-7000</c:v>
                </c:pt>
                <c:pt idx="98">
                  <c:v>-7000</c:v>
                </c:pt>
                <c:pt idx="99">
                  <c:v>-7000</c:v>
                </c:pt>
                <c:pt idx="100">
                  <c:v>-7000</c:v>
                </c:pt>
                <c:pt idx="101">
                  <c:v>-7000</c:v>
                </c:pt>
                <c:pt idx="102">
                  <c:v>-7000</c:v>
                </c:pt>
                <c:pt idx="103">
                  <c:v>-7000</c:v>
                </c:pt>
                <c:pt idx="104">
                  <c:v>-7000</c:v>
                </c:pt>
                <c:pt idx="105">
                  <c:v>-7000</c:v>
                </c:pt>
                <c:pt idx="106">
                  <c:v>-7000</c:v>
                </c:pt>
                <c:pt idx="107">
                  <c:v>-7000</c:v>
                </c:pt>
                <c:pt idx="108">
                  <c:v>-7000</c:v>
                </c:pt>
                <c:pt idx="109">
                  <c:v>-7000</c:v>
                </c:pt>
                <c:pt idx="110">
                  <c:v>-7000</c:v>
                </c:pt>
                <c:pt idx="111">
                  <c:v>-7000</c:v>
                </c:pt>
                <c:pt idx="112">
                  <c:v>-7000</c:v>
                </c:pt>
                <c:pt idx="113">
                  <c:v>-7000</c:v>
                </c:pt>
                <c:pt idx="114">
                  <c:v>-7000</c:v>
                </c:pt>
                <c:pt idx="115">
                  <c:v>-7000</c:v>
                </c:pt>
                <c:pt idx="116">
                  <c:v>-7000</c:v>
                </c:pt>
                <c:pt idx="117">
                  <c:v>-7000</c:v>
                </c:pt>
                <c:pt idx="118">
                  <c:v>-7000</c:v>
                </c:pt>
                <c:pt idx="119">
                  <c:v>-7000</c:v>
                </c:pt>
                <c:pt idx="120">
                  <c:v>-7000</c:v>
                </c:pt>
                <c:pt idx="121">
                  <c:v>-7000</c:v>
                </c:pt>
                <c:pt idx="122">
                  <c:v>-7000</c:v>
                </c:pt>
                <c:pt idx="123">
                  <c:v>-7000</c:v>
                </c:pt>
                <c:pt idx="124">
                  <c:v>-7000</c:v>
                </c:pt>
                <c:pt idx="125">
                  <c:v>-7000</c:v>
                </c:pt>
                <c:pt idx="126">
                  <c:v>-7000</c:v>
                </c:pt>
                <c:pt idx="127">
                  <c:v>-7000</c:v>
                </c:pt>
                <c:pt idx="128">
                  <c:v>-7000</c:v>
                </c:pt>
                <c:pt idx="129">
                  <c:v>-7000</c:v>
                </c:pt>
                <c:pt idx="130">
                  <c:v>-7000</c:v>
                </c:pt>
                <c:pt idx="131">
                  <c:v>-7000</c:v>
                </c:pt>
                <c:pt idx="132">
                  <c:v>-7000</c:v>
                </c:pt>
                <c:pt idx="133">
                  <c:v>-7000</c:v>
                </c:pt>
                <c:pt idx="134">
                  <c:v>-7000</c:v>
                </c:pt>
                <c:pt idx="135">
                  <c:v>-7000</c:v>
                </c:pt>
                <c:pt idx="136">
                  <c:v>-7000</c:v>
                </c:pt>
                <c:pt idx="137">
                  <c:v>-7000</c:v>
                </c:pt>
                <c:pt idx="138">
                  <c:v>-7000</c:v>
                </c:pt>
                <c:pt idx="139">
                  <c:v>-7000</c:v>
                </c:pt>
                <c:pt idx="140">
                  <c:v>-7000</c:v>
                </c:pt>
                <c:pt idx="141">
                  <c:v>-7000</c:v>
                </c:pt>
                <c:pt idx="142">
                  <c:v>-7000</c:v>
                </c:pt>
                <c:pt idx="143">
                  <c:v>-7000</c:v>
                </c:pt>
                <c:pt idx="144">
                  <c:v>-7000</c:v>
                </c:pt>
                <c:pt idx="145">
                  <c:v>-7000</c:v>
                </c:pt>
                <c:pt idx="146">
                  <c:v>-7000</c:v>
                </c:pt>
                <c:pt idx="147">
                  <c:v>-7000</c:v>
                </c:pt>
                <c:pt idx="148">
                  <c:v>-7000</c:v>
                </c:pt>
                <c:pt idx="149">
                  <c:v>-7000</c:v>
                </c:pt>
                <c:pt idx="150">
                  <c:v>-7000</c:v>
                </c:pt>
                <c:pt idx="151">
                  <c:v>-7000</c:v>
                </c:pt>
                <c:pt idx="152">
                  <c:v>-7000</c:v>
                </c:pt>
                <c:pt idx="153">
                  <c:v>-7000</c:v>
                </c:pt>
                <c:pt idx="154">
                  <c:v>-7000</c:v>
                </c:pt>
                <c:pt idx="155">
                  <c:v>-7000</c:v>
                </c:pt>
                <c:pt idx="156">
                  <c:v>-7000</c:v>
                </c:pt>
                <c:pt idx="157">
                  <c:v>-7000</c:v>
                </c:pt>
                <c:pt idx="158">
                  <c:v>-7000</c:v>
                </c:pt>
                <c:pt idx="159">
                  <c:v>-7000</c:v>
                </c:pt>
                <c:pt idx="160">
                  <c:v>-7000</c:v>
                </c:pt>
                <c:pt idx="161">
                  <c:v>-7000</c:v>
                </c:pt>
                <c:pt idx="162">
                  <c:v>-7000</c:v>
                </c:pt>
                <c:pt idx="163">
                  <c:v>-7000</c:v>
                </c:pt>
                <c:pt idx="164">
                  <c:v>-7000</c:v>
                </c:pt>
                <c:pt idx="165">
                  <c:v>-7000</c:v>
                </c:pt>
                <c:pt idx="166">
                  <c:v>-7000</c:v>
                </c:pt>
                <c:pt idx="167">
                  <c:v>-7000</c:v>
                </c:pt>
                <c:pt idx="168">
                  <c:v>-7000</c:v>
                </c:pt>
                <c:pt idx="169">
                  <c:v>-7000</c:v>
                </c:pt>
                <c:pt idx="170">
                  <c:v>-7000</c:v>
                </c:pt>
                <c:pt idx="171">
                  <c:v>-7000</c:v>
                </c:pt>
                <c:pt idx="172">
                  <c:v>-7000</c:v>
                </c:pt>
                <c:pt idx="173">
                  <c:v>-7000</c:v>
                </c:pt>
                <c:pt idx="174">
                  <c:v>-7000</c:v>
                </c:pt>
                <c:pt idx="175">
                  <c:v>-7000</c:v>
                </c:pt>
                <c:pt idx="176">
                  <c:v>-7000</c:v>
                </c:pt>
                <c:pt idx="177">
                  <c:v>-7000</c:v>
                </c:pt>
                <c:pt idx="178">
                  <c:v>-7000</c:v>
                </c:pt>
                <c:pt idx="179">
                  <c:v>-7000</c:v>
                </c:pt>
                <c:pt idx="180">
                  <c:v>-7000</c:v>
                </c:pt>
                <c:pt idx="181">
                  <c:v>-7000</c:v>
                </c:pt>
                <c:pt idx="182">
                  <c:v>-7000</c:v>
                </c:pt>
                <c:pt idx="183">
                  <c:v>-7000</c:v>
                </c:pt>
                <c:pt idx="184">
                  <c:v>-7000</c:v>
                </c:pt>
                <c:pt idx="185">
                  <c:v>-7000</c:v>
                </c:pt>
                <c:pt idx="186">
                  <c:v>-7000</c:v>
                </c:pt>
                <c:pt idx="187">
                  <c:v>-7000</c:v>
                </c:pt>
                <c:pt idx="188">
                  <c:v>-7000</c:v>
                </c:pt>
                <c:pt idx="189">
                  <c:v>-7000</c:v>
                </c:pt>
                <c:pt idx="190">
                  <c:v>-7000</c:v>
                </c:pt>
                <c:pt idx="191">
                  <c:v>-7000</c:v>
                </c:pt>
                <c:pt idx="192">
                  <c:v>-7000</c:v>
                </c:pt>
                <c:pt idx="193">
                  <c:v>-7000</c:v>
                </c:pt>
                <c:pt idx="194">
                  <c:v>-7000</c:v>
                </c:pt>
                <c:pt idx="195">
                  <c:v>-7000</c:v>
                </c:pt>
                <c:pt idx="196">
                  <c:v>-7000</c:v>
                </c:pt>
                <c:pt idx="197">
                  <c:v>-7000</c:v>
                </c:pt>
                <c:pt idx="198">
                  <c:v>-7000</c:v>
                </c:pt>
                <c:pt idx="199">
                  <c:v>-7000</c:v>
                </c:pt>
                <c:pt idx="200">
                  <c:v>-7000</c:v>
                </c:pt>
                <c:pt idx="201">
                  <c:v>-7000</c:v>
                </c:pt>
                <c:pt idx="202">
                  <c:v>-7000</c:v>
                </c:pt>
                <c:pt idx="203">
                  <c:v>-7000</c:v>
                </c:pt>
                <c:pt idx="204">
                  <c:v>-7000</c:v>
                </c:pt>
                <c:pt idx="205">
                  <c:v>-7000</c:v>
                </c:pt>
                <c:pt idx="206">
                  <c:v>-7000</c:v>
                </c:pt>
                <c:pt idx="207">
                  <c:v>-7000</c:v>
                </c:pt>
                <c:pt idx="208">
                  <c:v>-7000</c:v>
                </c:pt>
                <c:pt idx="209">
                  <c:v>-7000</c:v>
                </c:pt>
                <c:pt idx="210">
                  <c:v>-7000</c:v>
                </c:pt>
                <c:pt idx="211">
                  <c:v>-7000</c:v>
                </c:pt>
                <c:pt idx="212">
                  <c:v>-7000</c:v>
                </c:pt>
                <c:pt idx="213">
                  <c:v>-7000</c:v>
                </c:pt>
                <c:pt idx="214">
                  <c:v>-7000</c:v>
                </c:pt>
                <c:pt idx="215">
                  <c:v>-7000</c:v>
                </c:pt>
                <c:pt idx="216">
                  <c:v>-7000</c:v>
                </c:pt>
                <c:pt idx="217">
                  <c:v>-7000</c:v>
                </c:pt>
                <c:pt idx="218">
                  <c:v>-7000</c:v>
                </c:pt>
                <c:pt idx="219">
                  <c:v>-7000</c:v>
                </c:pt>
                <c:pt idx="220">
                  <c:v>-7000</c:v>
                </c:pt>
                <c:pt idx="221">
                  <c:v>-7000</c:v>
                </c:pt>
                <c:pt idx="222">
                  <c:v>-7000</c:v>
                </c:pt>
                <c:pt idx="223">
                  <c:v>-7000</c:v>
                </c:pt>
                <c:pt idx="224">
                  <c:v>-7000</c:v>
                </c:pt>
                <c:pt idx="225">
                  <c:v>-7000</c:v>
                </c:pt>
                <c:pt idx="226">
                  <c:v>-7000</c:v>
                </c:pt>
                <c:pt idx="227">
                  <c:v>-7000</c:v>
                </c:pt>
                <c:pt idx="228">
                  <c:v>-7000</c:v>
                </c:pt>
                <c:pt idx="229">
                  <c:v>-7000</c:v>
                </c:pt>
                <c:pt idx="230">
                  <c:v>-7000</c:v>
                </c:pt>
                <c:pt idx="231">
                  <c:v>-7000</c:v>
                </c:pt>
                <c:pt idx="232">
                  <c:v>-7000</c:v>
                </c:pt>
                <c:pt idx="233">
                  <c:v>-7000</c:v>
                </c:pt>
                <c:pt idx="234">
                  <c:v>-7000</c:v>
                </c:pt>
                <c:pt idx="235">
                  <c:v>-7000</c:v>
                </c:pt>
                <c:pt idx="236">
                  <c:v>-7000</c:v>
                </c:pt>
                <c:pt idx="237">
                  <c:v>-7000</c:v>
                </c:pt>
                <c:pt idx="238">
                  <c:v>-7000</c:v>
                </c:pt>
                <c:pt idx="239">
                  <c:v>-7000</c:v>
                </c:pt>
                <c:pt idx="240">
                  <c:v>-7000</c:v>
                </c:pt>
                <c:pt idx="241">
                  <c:v>-7000</c:v>
                </c:pt>
                <c:pt idx="242">
                  <c:v>-7000</c:v>
                </c:pt>
                <c:pt idx="243">
                  <c:v>-7000</c:v>
                </c:pt>
                <c:pt idx="244">
                  <c:v>-7000</c:v>
                </c:pt>
                <c:pt idx="245">
                  <c:v>-7000</c:v>
                </c:pt>
                <c:pt idx="246">
                  <c:v>-7000</c:v>
                </c:pt>
                <c:pt idx="247">
                  <c:v>-7000</c:v>
                </c:pt>
                <c:pt idx="248">
                  <c:v>-7000</c:v>
                </c:pt>
                <c:pt idx="249">
                  <c:v>-7000</c:v>
                </c:pt>
                <c:pt idx="250">
                  <c:v>-7000</c:v>
                </c:pt>
                <c:pt idx="251">
                  <c:v>-7000</c:v>
                </c:pt>
                <c:pt idx="252">
                  <c:v>-7000</c:v>
                </c:pt>
                <c:pt idx="253">
                  <c:v>-7000</c:v>
                </c:pt>
                <c:pt idx="254">
                  <c:v>-7000</c:v>
                </c:pt>
                <c:pt idx="255">
                  <c:v>-7000</c:v>
                </c:pt>
                <c:pt idx="256">
                  <c:v>-7000</c:v>
                </c:pt>
                <c:pt idx="257">
                  <c:v>-7000</c:v>
                </c:pt>
                <c:pt idx="258">
                  <c:v>-7000</c:v>
                </c:pt>
                <c:pt idx="259">
                  <c:v>-7000</c:v>
                </c:pt>
                <c:pt idx="260">
                  <c:v>-7000</c:v>
                </c:pt>
                <c:pt idx="261">
                  <c:v>-7000</c:v>
                </c:pt>
                <c:pt idx="262">
                  <c:v>-7000</c:v>
                </c:pt>
                <c:pt idx="263">
                  <c:v>-7000</c:v>
                </c:pt>
                <c:pt idx="264">
                  <c:v>-7000</c:v>
                </c:pt>
                <c:pt idx="265">
                  <c:v>-7000</c:v>
                </c:pt>
                <c:pt idx="266">
                  <c:v>-7000</c:v>
                </c:pt>
                <c:pt idx="267">
                  <c:v>-7000</c:v>
                </c:pt>
                <c:pt idx="268">
                  <c:v>-7000</c:v>
                </c:pt>
                <c:pt idx="269">
                  <c:v>-7000</c:v>
                </c:pt>
                <c:pt idx="270">
                  <c:v>-7000</c:v>
                </c:pt>
                <c:pt idx="271">
                  <c:v>-7000</c:v>
                </c:pt>
                <c:pt idx="272">
                  <c:v>-7000</c:v>
                </c:pt>
                <c:pt idx="273">
                  <c:v>-7000</c:v>
                </c:pt>
                <c:pt idx="274">
                  <c:v>-7000</c:v>
                </c:pt>
                <c:pt idx="275">
                  <c:v>-7000</c:v>
                </c:pt>
                <c:pt idx="276">
                  <c:v>-7000</c:v>
                </c:pt>
                <c:pt idx="277">
                  <c:v>-7000</c:v>
                </c:pt>
                <c:pt idx="278">
                  <c:v>-7000</c:v>
                </c:pt>
                <c:pt idx="279">
                  <c:v>-7000</c:v>
                </c:pt>
                <c:pt idx="280">
                  <c:v>-7000</c:v>
                </c:pt>
                <c:pt idx="281">
                  <c:v>-7000</c:v>
                </c:pt>
                <c:pt idx="282">
                  <c:v>-7000</c:v>
                </c:pt>
                <c:pt idx="283">
                  <c:v>-7000</c:v>
                </c:pt>
                <c:pt idx="284">
                  <c:v>-7000</c:v>
                </c:pt>
                <c:pt idx="285">
                  <c:v>-7000</c:v>
                </c:pt>
                <c:pt idx="286">
                  <c:v>-7000</c:v>
                </c:pt>
                <c:pt idx="287">
                  <c:v>-7000</c:v>
                </c:pt>
                <c:pt idx="288">
                  <c:v>-7000</c:v>
                </c:pt>
                <c:pt idx="289">
                  <c:v>-7000</c:v>
                </c:pt>
                <c:pt idx="290">
                  <c:v>-7000</c:v>
                </c:pt>
                <c:pt idx="291">
                  <c:v>-7000</c:v>
                </c:pt>
                <c:pt idx="292">
                  <c:v>-7000</c:v>
                </c:pt>
                <c:pt idx="293">
                  <c:v>-7000</c:v>
                </c:pt>
                <c:pt idx="294">
                  <c:v>-7000</c:v>
                </c:pt>
                <c:pt idx="295">
                  <c:v>-7000</c:v>
                </c:pt>
                <c:pt idx="296">
                  <c:v>-7000</c:v>
                </c:pt>
                <c:pt idx="297">
                  <c:v>-7000</c:v>
                </c:pt>
                <c:pt idx="298">
                  <c:v>-7000</c:v>
                </c:pt>
                <c:pt idx="299">
                  <c:v>-7000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B0-4360-8806-58BA02887DA7}"/>
            </c:ext>
          </c:extLst>
        </c:ser>
        <c:ser>
          <c:idx val="3"/>
          <c:order val="2"/>
          <c:tx>
            <c:v>Zero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Data'!$C$2:$C$301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B0-4360-8806-58BA02887DA7}"/>
            </c:ext>
          </c:extLst>
        </c:ser>
        <c:ser>
          <c:idx val="0"/>
          <c:order val="3"/>
          <c:tx>
            <c:v>Delta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Data'!$B$2:$B$601</c:f>
              <c:numCache>
                <c:formatCode>General</c:formatCode>
                <c:ptCount val="6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B0-4360-8806-58BA02887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15896"/>
        <c:axId val="164900224"/>
      </c:scatterChart>
      <c:valAx>
        <c:axId val="165115896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00224"/>
        <c:crosses val="autoZero"/>
        <c:crossBetween val="midCat"/>
      </c:valAx>
      <c:valAx>
        <c:axId val="1649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1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</xdr:row>
      <xdr:rowOff>38100</xdr:rowOff>
    </xdr:from>
    <xdr:ext cx="1790700" cy="523875"/>
    <xdr:pic>
      <xdr:nvPicPr>
        <xdr:cNvPr id="2" name="Picture 1" descr="logo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238125"/>
          <a:ext cx="17907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4</xdr:col>
      <xdr:colOff>828675</xdr:colOff>
      <xdr:row>3</xdr:row>
      <xdr:rowOff>152399</xdr:rowOff>
    </xdr:from>
    <xdr:to>
      <xdr:col>10</xdr:col>
      <xdr:colOff>762000</xdr:colOff>
      <xdr:row>26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30</xdr:row>
          <xdr:rowOff>57150</xdr:rowOff>
        </xdr:from>
        <xdr:to>
          <xdr:col>8</xdr:col>
          <xdr:colOff>171450</xdr:colOff>
          <xdr:row>33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Start Real-Time charting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542925</xdr:colOff>
      <xdr:row>27</xdr:row>
      <xdr:rowOff>161924</xdr:rowOff>
    </xdr:from>
    <xdr:to>
      <xdr:col>10</xdr:col>
      <xdr:colOff>790575</xdr:colOff>
      <xdr:row>34</xdr:row>
      <xdr:rowOff>142875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391900" y="5791199"/>
          <a:ext cx="3629025" cy="1381126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/>
            <a:t>The chart displays in real-time the delta exposure of the student's portfolio</a:t>
          </a:r>
          <a:r>
            <a:rPr lang="en-CA" sz="1400" baseline="0"/>
            <a:t> in real-time. The volatility used for the calculation of the delta can be found under Black-Scholes Option Pricing Assumptions.</a:t>
          </a:r>
          <a:endParaRPr lang="en-CA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48"/>
  <sheetViews>
    <sheetView tabSelected="1" zoomScale="85" zoomScaleNormal="85" workbookViewId="0"/>
  </sheetViews>
  <sheetFormatPr defaultColWidth="12.5703125" defaultRowHeight="15.75" x14ac:dyDescent="0.25"/>
  <cols>
    <col min="1" max="1" width="32.140625" style="2" bestFit="1" customWidth="1"/>
    <col min="2" max="2" width="11.7109375" style="2" customWidth="1"/>
    <col min="3" max="3" width="19.28515625" style="2" customWidth="1"/>
    <col min="4" max="4" width="18.85546875" style="2" customWidth="1"/>
    <col min="5" max="5" width="20" style="2" customWidth="1"/>
    <col min="6" max="6" width="25.42578125" style="2" customWidth="1"/>
    <col min="7" max="7" width="21.7109375" style="2" customWidth="1"/>
    <col min="8" max="8" width="21" style="33" customWidth="1"/>
    <col min="9" max="9" width="24.28515625" style="33" customWidth="1"/>
    <col min="10" max="10" width="26.42578125" style="33" customWidth="1"/>
    <col min="11" max="14" width="12.5703125" style="33"/>
    <col min="15" max="16384" width="12.5703125" style="2"/>
  </cols>
  <sheetData>
    <row r="2" spans="1:14" ht="18" x14ac:dyDescent="0.25">
      <c r="C2" s="1" t="s">
        <v>45</v>
      </c>
    </row>
    <row r="6" spans="1:14" x14ac:dyDescent="0.25">
      <c r="A6" s="74" t="s">
        <v>0</v>
      </c>
      <c r="B6" s="75"/>
      <c r="C6" s="3"/>
      <c r="D6" s="3"/>
    </row>
    <row r="7" spans="1:14" x14ac:dyDescent="0.25">
      <c r="A7" s="4" t="s">
        <v>1</v>
      </c>
      <c r="B7" s="5">
        <f>RTD("rit2.rtd",,"TIMEREMAINING")</f>
        <v>300</v>
      </c>
      <c r="C7" s="2" t="s">
        <v>2</v>
      </c>
    </row>
    <row r="8" spans="1:14" x14ac:dyDescent="0.25">
      <c r="A8" s="30" t="s">
        <v>3</v>
      </c>
      <c r="B8" s="31">
        <f>RTD("rit2.rtd",,"RTM","LAST")</f>
        <v>0</v>
      </c>
      <c r="C8" s="2" t="s">
        <v>4</v>
      </c>
      <c r="D8" s="6"/>
    </row>
    <row r="9" spans="1:14" x14ac:dyDescent="0.25">
      <c r="A9" s="3"/>
      <c r="B9" s="3"/>
      <c r="C9" s="3"/>
      <c r="D9" s="3"/>
    </row>
    <row r="11" spans="1:14" x14ac:dyDescent="0.25">
      <c r="A11" s="76" t="s">
        <v>26</v>
      </c>
      <c r="B11" s="77"/>
      <c r="C11" s="3"/>
      <c r="D11" s="3"/>
      <c r="F11" s="7"/>
    </row>
    <row r="12" spans="1:14" x14ac:dyDescent="0.25">
      <c r="A12" s="67" t="s">
        <v>5</v>
      </c>
      <c r="B12" s="72">
        <f>ROUNDUP(B7/15,0)</f>
        <v>20</v>
      </c>
      <c r="C12" s="2" t="s">
        <v>43</v>
      </c>
    </row>
    <row r="13" spans="1:14" x14ac:dyDescent="0.25">
      <c r="A13" s="29" t="s">
        <v>6</v>
      </c>
      <c r="B13" s="61">
        <f>B12/240</f>
        <v>8.3333333333333329E-2</v>
      </c>
      <c r="C13" s="8" t="s">
        <v>25</v>
      </c>
      <c r="D13" s="8"/>
    </row>
    <row r="14" spans="1:14" x14ac:dyDescent="0.25">
      <c r="A14" s="4" t="s">
        <v>7</v>
      </c>
      <c r="B14" s="60">
        <v>0</v>
      </c>
      <c r="C14" s="9"/>
      <c r="D14" s="9"/>
    </row>
    <row r="15" spans="1:14" s="15" customFormat="1" ht="33" customHeight="1" x14ac:dyDescent="0.25">
      <c r="A15" s="30" t="s">
        <v>41</v>
      </c>
      <c r="B15" s="62">
        <v>0.2</v>
      </c>
      <c r="C15" s="78" t="s">
        <v>39</v>
      </c>
      <c r="D15" s="79"/>
      <c r="H15" s="33"/>
      <c r="I15" s="33"/>
      <c r="J15" s="33"/>
      <c r="K15" s="33"/>
      <c r="L15" s="33"/>
      <c r="M15" s="33"/>
      <c r="N15" s="33"/>
    </row>
    <row r="16" spans="1:14" x14ac:dyDescent="0.25">
      <c r="A16" s="4"/>
      <c r="B16" s="68"/>
      <c r="C16" s="10"/>
      <c r="D16" s="10"/>
    </row>
    <row r="17" spans="1:14" x14ac:dyDescent="0.25">
      <c r="C17" s="10"/>
      <c r="D17" s="10"/>
    </row>
    <row r="18" spans="1:14" x14ac:dyDescent="0.25">
      <c r="F18" s="11"/>
      <c r="G18" s="11"/>
    </row>
    <row r="19" spans="1:14" x14ac:dyDescent="0.25">
      <c r="F19" s="11"/>
      <c r="G19" s="11"/>
    </row>
    <row r="20" spans="1:14" x14ac:dyDescent="0.25">
      <c r="A20" s="36" t="s">
        <v>28</v>
      </c>
      <c r="B20" s="37"/>
      <c r="C20" s="37"/>
      <c r="D20" s="38"/>
      <c r="E20" s="33"/>
      <c r="F20" s="33"/>
      <c r="G20" s="33"/>
      <c r="L20" s="2"/>
      <c r="M20" s="2"/>
      <c r="N20" s="2"/>
    </row>
    <row r="21" spans="1:14" x14ac:dyDescent="0.25">
      <c r="A21" s="39" t="s">
        <v>32</v>
      </c>
      <c r="B21" s="48" t="e">
        <f>SUM(D24:D34)</f>
        <v>#VALUE!</v>
      </c>
      <c r="C21" s="40"/>
      <c r="D21" s="41"/>
      <c r="E21" s="35"/>
      <c r="F21" s="35"/>
      <c r="G21" s="33"/>
      <c r="N21" s="2"/>
    </row>
    <row r="22" spans="1:14" x14ac:dyDescent="0.25">
      <c r="A22" s="39"/>
      <c r="B22" s="42"/>
      <c r="C22" s="40"/>
      <c r="D22" s="41"/>
      <c r="E22" s="35"/>
      <c r="F22" s="35"/>
      <c r="G22" s="33"/>
      <c r="N22" s="2"/>
    </row>
    <row r="23" spans="1:14" ht="31.5" x14ac:dyDescent="0.25">
      <c r="A23" s="12" t="s">
        <v>9</v>
      </c>
      <c r="B23" s="25" t="s">
        <v>10</v>
      </c>
      <c r="C23" s="25" t="s">
        <v>29</v>
      </c>
      <c r="D23" s="14" t="s">
        <v>30</v>
      </c>
      <c r="E23" s="33"/>
      <c r="F23" s="33"/>
      <c r="G23" s="33"/>
      <c r="L23" s="2"/>
      <c r="M23" s="2"/>
      <c r="N23" s="2"/>
    </row>
    <row r="24" spans="1:14" x14ac:dyDescent="0.25">
      <c r="A24" s="43" t="s">
        <v>31</v>
      </c>
      <c r="B24" s="44"/>
      <c r="C24" s="49">
        <f>RTD("rit2.rtd",,A24,"POSITION")</f>
        <v>0</v>
      </c>
      <c r="D24" s="50">
        <f>C24</f>
        <v>0</v>
      </c>
      <c r="E24" s="33"/>
      <c r="F24" s="33"/>
      <c r="G24" s="33"/>
      <c r="L24" s="2"/>
      <c r="M24" s="2"/>
      <c r="N24" s="2"/>
    </row>
    <row r="25" spans="1:14" x14ac:dyDescent="0.25">
      <c r="A25" s="45" t="s">
        <v>11</v>
      </c>
      <c r="B25" s="33">
        <v>48</v>
      </c>
      <c r="C25" s="51">
        <f>RTD("rit2.rtd",,A25,"POSITION")</f>
        <v>0</v>
      </c>
      <c r="D25" s="52" t="e">
        <f>_xlfn.NORM.S.DIST(H39,TRUE)*C25*100</f>
        <v>#VALUE!</v>
      </c>
      <c r="E25" s="33"/>
      <c r="F25" s="33"/>
      <c r="G25" s="33"/>
      <c r="L25" s="2"/>
      <c r="M25" s="2"/>
      <c r="N25" s="2"/>
    </row>
    <row r="26" spans="1:14" x14ac:dyDescent="0.25">
      <c r="A26" s="43" t="s">
        <v>12</v>
      </c>
      <c r="B26" s="44">
        <v>48</v>
      </c>
      <c r="C26" s="49">
        <f>RTD("rit2.rtd",,A26,"POSITION")</f>
        <v>0</v>
      </c>
      <c r="D26" s="70" t="e">
        <f>(_xlfn.NORM.S.DIST(H40,TRUE)-1)*C26*100</f>
        <v>#VALUE!</v>
      </c>
      <c r="E26" s="33"/>
      <c r="F26" s="33"/>
      <c r="G26" s="33"/>
      <c r="L26" s="2"/>
      <c r="M26" s="2"/>
      <c r="N26" s="2"/>
    </row>
    <row r="27" spans="1:14" x14ac:dyDescent="0.25">
      <c r="A27" s="45" t="s">
        <v>13</v>
      </c>
      <c r="B27" s="33">
        <f>B25+1</f>
        <v>49</v>
      </c>
      <c r="C27" s="51">
        <f>RTD("rit2.rtd",,A27,"POSITION")</f>
        <v>0</v>
      </c>
      <c r="D27" s="52" t="e">
        <f t="shared" ref="D27:D31" si="0">_xlfn.NORM.S.DIST(H41,TRUE)*C27*100</f>
        <v>#VALUE!</v>
      </c>
      <c r="E27" s="33"/>
      <c r="F27" s="33"/>
      <c r="G27" s="33"/>
      <c r="L27" s="2"/>
      <c r="M27" s="2"/>
      <c r="N27" s="2"/>
    </row>
    <row r="28" spans="1:14" x14ac:dyDescent="0.25">
      <c r="A28" s="43" t="s">
        <v>14</v>
      </c>
      <c r="B28" s="44">
        <f t="shared" ref="B28:B34" si="1">B26+1</f>
        <v>49</v>
      </c>
      <c r="C28" s="49">
        <f>RTD("rit2.rtd",,A28,"POSITION")</f>
        <v>0</v>
      </c>
      <c r="D28" s="70" t="e">
        <f>(_xlfn.NORM.S.DIST(H42,TRUE)-1)*C28*100</f>
        <v>#VALUE!</v>
      </c>
      <c r="E28" s="33"/>
      <c r="F28" s="82"/>
      <c r="G28" s="33"/>
      <c r="L28" s="2"/>
      <c r="M28" s="2"/>
      <c r="N28" s="2"/>
    </row>
    <row r="29" spans="1:14" x14ac:dyDescent="0.25">
      <c r="A29" s="45" t="s">
        <v>15</v>
      </c>
      <c r="B29" s="33">
        <f t="shared" si="1"/>
        <v>50</v>
      </c>
      <c r="C29" s="51">
        <f>RTD("rit2.rtd",,A29,"POSITION")</f>
        <v>0</v>
      </c>
      <c r="D29" s="69" t="e">
        <f>_xlfn.NORM.S.DIST(H43,TRUE)*C29*100</f>
        <v>#VALUE!</v>
      </c>
      <c r="E29" s="33"/>
      <c r="F29" s="83"/>
      <c r="G29" s="55" t="s">
        <v>38</v>
      </c>
      <c r="H29" s="56">
        <v>7000</v>
      </c>
      <c r="L29" s="2"/>
      <c r="M29" s="2"/>
      <c r="N29" s="2"/>
    </row>
    <row r="30" spans="1:14" x14ac:dyDescent="0.25">
      <c r="A30" s="43" t="s">
        <v>16</v>
      </c>
      <c r="B30" s="44">
        <f t="shared" si="1"/>
        <v>50</v>
      </c>
      <c r="C30" s="49">
        <f>RTD("rit2.rtd",,A30,"POSITION")</f>
        <v>0</v>
      </c>
      <c r="D30" s="70" t="e">
        <f>(_xlfn.NORM.S.DIST(H44,TRUE)-1)*C30*100</f>
        <v>#VALUE!</v>
      </c>
      <c r="E30" s="33"/>
      <c r="F30" s="33"/>
      <c r="G30" s="33"/>
      <c r="L30" s="2"/>
      <c r="M30" s="2"/>
      <c r="N30" s="2"/>
    </row>
    <row r="31" spans="1:14" x14ac:dyDescent="0.25">
      <c r="A31" s="45" t="s">
        <v>17</v>
      </c>
      <c r="B31" s="33">
        <f t="shared" si="1"/>
        <v>51</v>
      </c>
      <c r="C31" s="51">
        <f>RTD("rit2.rtd",,A31,"POSITION")</f>
        <v>0</v>
      </c>
      <c r="D31" s="52" t="e">
        <f t="shared" si="0"/>
        <v>#VALUE!</v>
      </c>
      <c r="E31" s="33"/>
      <c r="F31" s="33"/>
      <c r="G31" s="33"/>
      <c r="L31" s="2"/>
      <c r="M31" s="2"/>
      <c r="N31" s="2"/>
    </row>
    <row r="32" spans="1:14" x14ac:dyDescent="0.25">
      <c r="A32" s="43" t="s">
        <v>18</v>
      </c>
      <c r="B32" s="44">
        <f t="shared" si="1"/>
        <v>51</v>
      </c>
      <c r="C32" s="49">
        <f>RTD("rit2.rtd",,A32,"POSITION")</f>
        <v>0</v>
      </c>
      <c r="D32" s="70" t="e">
        <f>(_xlfn.NORM.S.DIST(H46,TRUE)-1)*C32*100</f>
        <v>#VALUE!</v>
      </c>
      <c r="E32" s="33"/>
      <c r="F32" s="33"/>
      <c r="G32" s="33"/>
      <c r="L32" s="2"/>
      <c r="M32" s="2"/>
      <c r="N32" s="2"/>
    </row>
    <row r="33" spans="1:14" x14ac:dyDescent="0.25">
      <c r="A33" s="45" t="s">
        <v>19</v>
      </c>
      <c r="B33" s="33">
        <f t="shared" si="1"/>
        <v>52</v>
      </c>
      <c r="C33" s="51">
        <f>RTD("rit2.rtd",,A33,"POSITION")</f>
        <v>0</v>
      </c>
      <c r="D33" s="69" t="e">
        <f>_xlfn.NORM.S.DIST(H47,TRUE)*C33*100</f>
        <v>#VALUE!</v>
      </c>
      <c r="E33" s="33"/>
      <c r="F33" s="33"/>
      <c r="G33" s="33"/>
      <c r="L33" s="2"/>
      <c r="M33" s="2"/>
      <c r="N33" s="2"/>
    </row>
    <row r="34" spans="1:14" x14ac:dyDescent="0.25">
      <c r="A34" s="46" t="s">
        <v>20</v>
      </c>
      <c r="B34" s="47">
        <f t="shared" si="1"/>
        <v>52</v>
      </c>
      <c r="C34" s="53">
        <f>RTD("rit2.rtd",,A34,"POSITION")</f>
        <v>0</v>
      </c>
      <c r="D34" s="71" t="e">
        <f>(_xlfn.NORM.S.DIST(H48,TRUE)-1)*C34*100</f>
        <v>#VALUE!</v>
      </c>
      <c r="E34" s="33"/>
      <c r="F34" s="33"/>
      <c r="G34" s="33"/>
      <c r="L34" s="2"/>
      <c r="M34" s="2"/>
      <c r="N34" s="2"/>
    </row>
    <row r="35" spans="1:14" x14ac:dyDescent="0.25">
      <c r="F35" s="11"/>
      <c r="G35" s="11"/>
    </row>
    <row r="36" spans="1:14" x14ac:dyDescent="0.25">
      <c r="F36" s="11"/>
      <c r="G36" s="11"/>
    </row>
    <row r="37" spans="1:14" x14ac:dyDescent="0.25">
      <c r="A37" s="80" t="s">
        <v>8</v>
      </c>
      <c r="B37" s="81"/>
      <c r="C37" s="81"/>
      <c r="D37" s="81"/>
      <c r="E37" s="81"/>
      <c r="F37" s="81"/>
      <c r="G37" s="81"/>
      <c r="H37" s="81"/>
    </row>
    <row r="38" spans="1:14" s="15" customFormat="1" ht="56.25" customHeight="1" x14ac:dyDescent="0.25">
      <c r="A38" s="12" t="s">
        <v>9</v>
      </c>
      <c r="B38" s="25" t="s">
        <v>10</v>
      </c>
      <c r="C38" s="25" t="s">
        <v>23</v>
      </c>
      <c r="D38" s="25" t="s">
        <v>24</v>
      </c>
      <c r="E38" s="13" t="s">
        <v>22</v>
      </c>
      <c r="F38" s="13" t="s">
        <v>21</v>
      </c>
      <c r="G38" s="13" t="s">
        <v>27</v>
      </c>
      <c r="H38" s="13" t="s">
        <v>40</v>
      </c>
      <c r="I38" s="34"/>
      <c r="J38" s="34"/>
      <c r="K38" s="33"/>
      <c r="L38" s="33"/>
      <c r="M38" s="33"/>
      <c r="N38" s="33"/>
    </row>
    <row r="39" spans="1:14" x14ac:dyDescent="0.25">
      <c r="A39" s="16" t="s">
        <v>11</v>
      </c>
      <c r="B39" s="17">
        <v>48</v>
      </c>
      <c r="C39" s="26" t="e">
        <f t="shared" ref="C39:C48" si="2">(1/($B$15*SQRT($B$13)))*(LN($B$8/$B39)+($B$15^2/2)*$B$13)</f>
        <v>#NUM!</v>
      </c>
      <c r="D39" s="26" t="e">
        <f t="shared" ref="D39:D48" si="3">C39-$B$15*SQRT($B$13)</f>
        <v>#NUM!</v>
      </c>
      <c r="E39" s="18" t="e">
        <f>$B$8*_xlfn.NORM.S.DIST(C39,TRUE)-B39*_xlfn.NORM.S.DIST(D39,TRUE)</f>
        <v>#NUM!</v>
      </c>
      <c r="F39" s="18">
        <f>RTD("rit2.rtd",,A39,"LAST")</f>
        <v>0</v>
      </c>
      <c r="G39" s="63" t="e">
        <f>impliedvol(StockPrice,B39,Time_to_Maturity,RiskFree,F39,1)+$B$16</f>
        <v>#VALUE!</v>
      </c>
      <c r="H39" s="57" t="e">
        <f t="shared" ref="H39:H48" si="4">(1/(G39*SQRT($B$13)))*(LN($B$8/$B39)+(G39^2/2)*$B$13)</f>
        <v>#VALUE!</v>
      </c>
      <c r="I39" s="66"/>
    </row>
    <row r="40" spans="1:14" x14ac:dyDescent="0.25">
      <c r="A40" s="19" t="s">
        <v>12</v>
      </c>
      <c r="B40" s="20">
        <v>48</v>
      </c>
      <c r="C40" s="27" t="e">
        <f t="shared" si="2"/>
        <v>#NUM!</v>
      </c>
      <c r="D40" s="27" t="e">
        <f t="shared" si="3"/>
        <v>#NUM!</v>
      </c>
      <c r="E40" s="21" t="e">
        <f>B40*_xlfn.NORM.S.DIST(-D40,TRUE)-$B$8*_xlfn.NORM.S.DIST(-C40,TRUE)</f>
        <v>#NUM!</v>
      </c>
      <c r="F40" s="21">
        <f>RTD("rit2.rtd",,A40,"LAST")</f>
        <v>0</v>
      </c>
      <c r="G40" s="64" t="e">
        <f>impliedvol(StockPrice,B40,Time_to_Maturity,RiskFree,F40,0)+$B$16</f>
        <v>#VALUE!</v>
      </c>
      <c r="H40" s="58" t="e">
        <f t="shared" si="4"/>
        <v>#VALUE!</v>
      </c>
      <c r="I40" s="66"/>
    </row>
    <row r="41" spans="1:14" x14ac:dyDescent="0.25">
      <c r="A41" s="16" t="s">
        <v>13</v>
      </c>
      <c r="B41" s="17">
        <f>B39+1</f>
        <v>49</v>
      </c>
      <c r="C41" s="26" t="e">
        <f t="shared" si="2"/>
        <v>#NUM!</v>
      </c>
      <c r="D41" s="26" t="e">
        <f t="shared" si="3"/>
        <v>#NUM!</v>
      </c>
      <c r="E41" s="18" t="e">
        <f>$B$8*_xlfn.NORM.S.DIST(C41,TRUE)-B41*_xlfn.NORM.S.DIST(D41,TRUE)</f>
        <v>#NUM!</v>
      </c>
      <c r="F41" s="18">
        <f>RTD("rit2.rtd",,A41,"LAST")</f>
        <v>0</v>
      </c>
      <c r="G41" s="63" t="e">
        <f>impliedvol(StockPrice,B41,Time_to_Maturity,RiskFree,F41,1)+$B$16</f>
        <v>#VALUE!</v>
      </c>
      <c r="H41" s="57" t="e">
        <f t="shared" si="4"/>
        <v>#VALUE!</v>
      </c>
      <c r="I41" s="66"/>
    </row>
    <row r="42" spans="1:14" x14ac:dyDescent="0.25">
      <c r="A42" s="19" t="s">
        <v>14</v>
      </c>
      <c r="B42" s="20">
        <f t="shared" ref="B42:B48" si="5">B40+1</f>
        <v>49</v>
      </c>
      <c r="C42" s="27" t="e">
        <f t="shared" si="2"/>
        <v>#NUM!</v>
      </c>
      <c r="D42" s="27" t="e">
        <f t="shared" si="3"/>
        <v>#NUM!</v>
      </c>
      <c r="E42" s="32" t="e">
        <f>B42*_xlfn.NORM.S.DIST(-D42,TRUE)-$B$8*_xlfn.NORM.S.DIST(-C42,TRUE)</f>
        <v>#NUM!</v>
      </c>
      <c r="F42" s="21">
        <f>RTD("rit2.rtd",,A42,"LAST")</f>
        <v>0</v>
      </c>
      <c r="G42" s="64" t="e">
        <f>impliedvol(StockPrice,B42,Time_to_Maturity,RiskFree,F42,0)+$B$16</f>
        <v>#VALUE!</v>
      </c>
      <c r="H42" s="58" t="e">
        <f t="shared" si="4"/>
        <v>#VALUE!</v>
      </c>
      <c r="I42" s="66"/>
    </row>
    <row r="43" spans="1:14" x14ac:dyDescent="0.25">
      <c r="A43" s="16" t="s">
        <v>15</v>
      </c>
      <c r="B43" s="17">
        <f t="shared" si="5"/>
        <v>50</v>
      </c>
      <c r="C43" s="26" t="e">
        <f t="shared" si="2"/>
        <v>#NUM!</v>
      </c>
      <c r="D43" s="26" t="e">
        <f t="shared" si="3"/>
        <v>#NUM!</v>
      </c>
      <c r="E43" s="18" t="e">
        <f>$B$8*_xlfn.NORM.S.DIST(C43,TRUE)-B43*_xlfn.NORM.S.DIST(D43,TRUE)</f>
        <v>#NUM!</v>
      </c>
      <c r="F43" s="18">
        <f>RTD("rit2.rtd",,A43,"LAST")</f>
        <v>0</v>
      </c>
      <c r="G43" s="63" t="e">
        <f>impliedvol(StockPrice,B43,Time_to_Maturity,RiskFree,F43,1)+$B$16</f>
        <v>#VALUE!</v>
      </c>
      <c r="H43" s="57" t="e">
        <f t="shared" si="4"/>
        <v>#VALUE!</v>
      </c>
      <c r="I43" s="66"/>
    </row>
    <row r="44" spans="1:14" x14ac:dyDescent="0.25">
      <c r="A44" s="19" t="s">
        <v>16</v>
      </c>
      <c r="B44" s="20">
        <f t="shared" si="5"/>
        <v>50</v>
      </c>
      <c r="C44" s="27" t="e">
        <f t="shared" si="2"/>
        <v>#NUM!</v>
      </c>
      <c r="D44" s="27" t="e">
        <f>C44-$B$15*SQRT($B$13)</f>
        <v>#NUM!</v>
      </c>
      <c r="E44" s="21" t="e">
        <f>B44*_xlfn.NORM.S.DIST(-D44,TRUE)-$B$8*_xlfn.NORM.S.DIST(-C44,TRUE)</f>
        <v>#NUM!</v>
      </c>
      <c r="F44" s="21">
        <f>RTD("rit2.rtd",,A44,"LAST")</f>
        <v>0</v>
      </c>
      <c r="G44" s="64" t="e">
        <f>impliedvol(StockPrice,B44,Time_to_Maturity,RiskFree,F44,0)+$B$16</f>
        <v>#VALUE!</v>
      </c>
      <c r="H44" s="58" t="e">
        <f t="shared" si="4"/>
        <v>#VALUE!</v>
      </c>
      <c r="I44" s="66"/>
    </row>
    <row r="45" spans="1:14" x14ac:dyDescent="0.25">
      <c r="A45" s="16" t="s">
        <v>17</v>
      </c>
      <c r="B45" s="17">
        <f>B43+1</f>
        <v>51</v>
      </c>
      <c r="C45" s="26" t="e">
        <f>(1/($B$15*SQRT($B$13)))*(LN($B$8/$B45)+($B$15^2/2)*$B$13)</f>
        <v>#NUM!</v>
      </c>
      <c r="D45" s="26" t="e">
        <f t="shared" si="3"/>
        <v>#NUM!</v>
      </c>
      <c r="E45" s="18" t="e">
        <f>$B$8*_xlfn.NORM.S.DIST(C45,TRUE)-B45*_xlfn.NORM.S.DIST(D45,TRUE)</f>
        <v>#NUM!</v>
      </c>
      <c r="F45" s="18">
        <f>RTD("rit2.rtd",,A45,"LAST")</f>
        <v>0</v>
      </c>
      <c r="G45" s="63" t="e">
        <f>impliedvol(StockPrice,B45,Time_to_Maturity,RiskFree,F45,1)+$B$16</f>
        <v>#VALUE!</v>
      </c>
      <c r="H45" s="57" t="e">
        <f t="shared" si="4"/>
        <v>#VALUE!</v>
      </c>
      <c r="I45" s="66"/>
    </row>
    <row r="46" spans="1:14" x14ac:dyDescent="0.25">
      <c r="A46" s="19" t="s">
        <v>18</v>
      </c>
      <c r="B46" s="20">
        <f t="shared" si="5"/>
        <v>51</v>
      </c>
      <c r="C46" s="27" t="e">
        <f t="shared" si="2"/>
        <v>#NUM!</v>
      </c>
      <c r="D46" s="27" t="e">
        <f t="shared" si="3"/>
        <v>#NUM!</v>
      </c>
      <c r="E46" s="21" t="e">
        <f>B46*_xlfn.NORM.S.DIST(-D46,TRUE)-$B$8*_xlfn.NORM.S.DIST(-C46,TRUE)</f>
        <v>#NUM!</v>
      </c>
      <c r="F46" s="21">
        <f>RTD("rit2.rtd",,A46,"LAST")</f>
        <v>0</v>
      </c>
      <c r="G46" s="64" t="e">
        <f>impliedvol(StockPrice,B46,Time_to_Maturity,RiskFree,F46,0)+$B$16</f>
        <v>#VALUE!</v>
      </c>
      <c r="H46" s="58" t="e">
        <f t="shared" si="4"/>
        <v>#VALUE!</v>
      </c>
      <c r="I46" s="66"/>
    </row>
    <row r="47" spans="1:14" x14ac:dyDescent="0.25">
      <c r="A47" s="16" t="s">
        <v>19</v>
      </c>
      <c r="B47" s="17">
        <f t="shared" si="5"/>
        <v>52</v>
      </c>
      <c r="C47" s="26" t="e">
        <f t="shared" si="2"/>
        <v>#NUM!</v>
      </c>
      <c r="D47" s="26" t="e">
        <f t="shared" si="3"/>
        <v>#NUM!</v>
      </c>
      <c r="E47" s="18" t="e">
        <f>$B$8*_xlfn.NORM.S.DIST(C47,TRUE)-B47*_xlfn.NORM.S.DIST(D47,TRUE)</f>
        <v>#NUM!</v>
      </c>
      <c r="F47" s="18">
        <f>RTD("rit2.rtd",,A47,"LAST")</f>
        <v>0</v>
      </c>
      <c r="G47" s="63" t="e">
        <f>impliedvol(StockPrice,B47,Time_to_Maturity,RiskFree,F47,1)+$B$16</f>
        <v>#VALUE!</v>
      </c>
      <c r="H47" s="57" t="e">
        <f t="shared" si="4"/>
        <v>#VALUE!</v>
      </c>
      <c r="I47" s="66"/>
    </row>
    <row r="48" spans="1:14" x14ac:dyDescent="0.25">
      <c r="A48" s="22" t="s">
        <v>20</v>
      </c>
      <c r="B48" s="23">
        <f t="shared" si="5"/>
        <v>52</v>
      </c>
      <c r="C48" s="28" t="e">
        <f t="shared" si="2"/>
        <v>#NUM!</v>
      </c>
      <c r="D48" s="28" t="e">
        <f t="shared" si="3"/>
        <v>#NUM!</v>
      </c>
      <c r="E48" s="24" t="e">
        <f>B48*_xlfn.NORM.S.DIST(-D48,TRUE)-$B$8*_xlfn.NORM.S.DIST(-C48,TRUE)</f>
        <v>#NUM!</v>
      </c>
      <c r="F48" s="24">
        <f>RTD("rit2.rtd",,A48,"LAST")</f>
        <v>0</v>
      </c>
      <c r="G48" s="65" t="e">
        <f>impliedvol(StockPrice,B48,Time_to_Maturity,RiskFree,F48,0)+$B$16</f>
        <v>#VALUE!</v>
      </c>
      <c r="H48" s="59" t="e">
        <f t="shared" si="4"/>
        <v>#VALUE!</v>
      </c>
      <c r="I48" s="66"/>
    </row>
  </sheetData>
  <mergeCells count="4">
    <mergeCell ref="A6:B6"/>
    <mergeCell ref="A11:B11"/>
    <mergeCell ref="C15:D15"/>
    <mergeCell ref="A37:H37"/>
  </mergeCells>
  <pageMargins left="0.7" right="0.7" top="0.75" bottom="0.75" header="0.3" footer="0.3"/>
  <pageSetup orientation="portrait" verticalDpi="597" r:id="rId1"/>
  <ignoredErrors>
    <ignoredError sqref="E41:E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4</xdr:col>
                    <xdr:colOff>838200</xdr:colOff>
                    <xdr:row>30</xdr:row>
                    <xdr:rowOff>57150</xdr:rowOff>
                  </from>
                  <to>
                    <xdr:col>8</xdr:col>
                    <xdr:colOff>171450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"/>
  <sheetViews>
    <sheetView workbookViewId="0">
      <selection activeCell="F2" sqref="F2"/>
    </sheetView>
  </sheetViews>
  <sheetFormatPr defaultRowHeight="15" x14ac:dyDescent="0.25"/>
  <cols>
    <col min="4" max="4" width="12.7109375" bestFit="1" customWidth="1"/>
    <col min="8" max="8" width="17.7109375" style="54" bestFit="1" customWidth="1"/>
    <col min="9" max="9" width="9.5703125" style="54" customWidth="1"/>
  </cols>
  <sheetData>
    <row r="1" spans="1:11" x14ac:dyDescent="0.25">
      <c r="A1" t="s">
        <v>33</v>
      </c>
      <c r="B1">
        <v>0</v>
      </c>
    </row>
    <row r="2" spans="1:11" x14ac:dyDescent="0.25">
      <c r="A2">
        <v>1</v>
      </c>
      <c r="C2">
        <v>0</v>
      </c>
      <c r="D2">
        <f>C2+'Decision Support'!$H$29</f>
        <v>7000</v>
      </c>
      <c r="E2">
        <f>C2-'Decision Support'!$H$29</f>
        <v>-7000</v>
      </c>
      <c r="F2">
        <f t="shared" ref="F2:F4" si="0">IF(ABS(B2)&gt;7000,(ABS(B2)-7000)*$I$7,)</f>
        <v>0</v>
      </c>
      <c r="H2" s="54" t="s">
        <v>34</v>
      </c>
      <c r="I2" s="54" t="str">
        <f>LEFT(RTD("rit2.rtd",,"LATESTNEWS",1),5)</f>
        <v>LATES</v>
      </c>
      <c r="K2" t="s">
        <v>35</v>
      </c>
    </row>
    <row r="3" spans="1:11" x14ac:dyDescent="0.25">
      <c r="A3">
        <f t="shared" ref="A3:A66" si="1">A2+1</f>
        <v>2</v>
      </c>
      <c r="C3">
        <v>0</v>
      </c>
      <c r="D3">
        <f>C3+'Decision Support'!$H$29</f>
        <v>7000</v>
      </c>
      <c r="E3">
        <f>C3-'Decision Support'!$H$29</f>
        <v>-7000</v>
      </c>
      <c r="F3">
        <f t="shared" si="0"/>
        <v>0</v>
      </c>
      <c r="H3" s="54" t="s">
        <v>36</v>
      </c>
      <c r="I3" s="54" t="s">
        <v>42</v>
      </c>
      <c r="K3">
        <f>300-RTD("rit2.rtd",,"TIMEREMAINING")</f>
        <v>0</v>
      </c>
    </row>
    <row r="4" spans="1:11" x14ac:dyDescent="0.25">
      <c r="A4">
        <f t="shared" si="1"/>
        <v>3</v>
      </c>
      <c r="C4">
        <v>0</v>
      </c>
      <c r="D4">
        <f>C4+'Decision Support'!$H$29</f>
        <v>7000</v>
      </c>
      <c r="E4">
        <f>C4-'Decision Support'!$H$29</f>
        <v>-7000</v>
      </c>
      <c r="F4">
        <f t="shared" si="0"/>
        <v>0</v>
      </c>
    </row>
    <row r="5" spans="1:11" x14ac:dyDescent="0.25">
      <c r="A5">
        <f t="shared" si="1"/>
        <v>4</v>
      </c>
      <c r="C5">
        <v>0</v>
      </c>
      <c r="D5">
        <f>C5+'Decision Support'!$H$29</f>
        <v>7000</v>
      </c>
      <c r="E5">
        <f>C5-'Decision Support'!$H$29</f>
        <v>-7000</v>
      </c>
      <c r="F5">
        <f>IF(ABS(B5)&gt;7000,(ABS(B5)-7000)*$I$7,)</f>
        <v>0</v>
      </c>
      <c r="H5" s="54" t="s">
        <v>37</v>
      </c>
      <c r="I5" s="54">
        <f>IF(currenttick=0,0,IF(currenttick&lt;5,1,0))</f>
        <v>0</v>
      </c>
    </row>
    <row r="6" spans="1:11" x14ac:dyDescent="0.25">
      <c r="A6">
        <f t="shared" si="1"/>
        <v>5</v>
      </c>
      <c r="C6">
        <v>0</v>
      </c>
      <c r="D6">
        <f>C6+'Decision Support'!$H$29</f>
        <v>7000</v>
      </c>
      <c r="E6">
        <f>C6-'Decision Support'!$H$29</f>
        <v>-7000</v>
      </c>
      <c r="F6">
        <f t="shared" ref="F6:F69" si="2">IF(ABS(B6)&gt;7000,(ABS(B6)-7000)*$I$7,)</f>
        <v>0</v>
      </c>
    </row>
    <row r="7" spans="1:11" x14ac:dyDescent="0.25">
      <c r="A7">
        <f t="shared" si="1"/>
        <v>6</v>
      </c>
      <c r="C7">
        <v>0</v>
      </c>
      <c r="D7">
        <f>C7+'Decision Support'!$H$29</f>
        <v>7000</v>
      </c>
      <c r="E7">
        <f>C7-'Decision Support'!$H$29</f>
        <v>-7000</v>
      </c>
      <c r="F7">
        <f t="shared" si="2"/>
        <v>0</v>
      </c>
      <c r="H7" s="54" t="s">
        <v>44</v>
      </c>
      <c r="I7" s="73">
        <f>'Decision Support'!F28</f>
        <v>0</v>
      </c>
    </row>
    <row r="8" spans="1:11" x14ac:dyDescent="0.25">
      <c r="A8">
        <f t="shared" si="1"/>
        <v>7</v>
      </c>
      <c r="C8">
        <v>0</v>
      </c>
      <c r="D8">
        <f>C8+'Decision Support'!$H$29</f>
        <v>7000</v>
      </c>
      <c r="E8">
        <f>C8-'Decision Support'!$H$29</f>
        <v>-7000</v>
      </c>
      <c r="F8">
        <f t="shared" si="2"/>
        <v>0</v>
      </c>
    </row>
    <row r="9" spans="1:11" x14ac:dyDescent="0.25">
      <c r="A9">
        <f t="shared" si="1"/>
        <v>8</v>
      </c>
      <c r="C9">
        <v>0</v>
      </c>
      <c r="D9">
        <f>C9+'Decision Support'!$H$29</f>
        <v>7000</v>
      </c>
      <c r="E9">
        <f>C9-'Decision Support'!$H$29</f>
        <v>-7000</v>
      </c>
      <c r="F9">
        <f t="shared" si="2"/>
        <v>0</v>
      </c>
    </row>
    <row r="10" spans="1:11" x14ac:dyDescent="0.25">
      <c r="A10">
        <f t="shared" si="1"/>
        <v>9</v>
      </c>
      <c r="C10">
        <v>0</v>
      </c>
      <c r="D10">
        <f>C10+'Decision Support'!$H$29</f>
        <v>7000</v>
      </c>
      <c r="E10">
        <f>C10-'Decision Support'!$H$29</f>
        <v>-7000</v>
      </c>
      <c r="F10">
        <f t="shared" si="2"/>
        <v>0</v>
      </c>
    </row>
    <row r="11" spans="1:11" x14ac:dyDescent="0.25">
      <c r="A11">
        <f t="shared" si="1"/>
        <v>10</v>
      </c>
      <c r="C11">
        <v>0</v>
      </c>
      <c r="D11">
        <f>C11+'Decision Support'!$H$29</f>
        <v>7000</v>
      </c>
      <c r="E11">
        <f>C11-'Decision Support'!$H$29</f>
        <v>-7000</v>
      </c>
      <c r="F11">
        <f t="shared" si="2"/>
        <v>0</v>
      </c>
    </row>
    <row r="12" spans="1:11" x14ac:dyDescent="0.25">
      <c r="A12">
        <f t="shared" si="1"/>
        <v>11</v>
      </c>
      <c r="C12">
        <v>0</v>
      </c>
      <c r="D12">
        <f>C12+'Decision Support'!$H$29</f>
        <v>7000</v>
      </c>
      <c r="E12">
        <f>C12-'Decision Support'!$H$29</f>
        <v>-7000</v>
      </c>
      <c r="F12">
        <f t="shared" si="2"/>
        <v>0</v>
      </c>
    </row>
    <row r="13" spans="1:11" x14ac:dyDescent="0.25">
      <c r="A13">
        <f t="shared" si="1"/>
        <v>12</v>
      </c>
      <c r="C13">
        <v>0</v>
      </c>
      <c r="D13">
        <f>C13+'Decision Support'!$H$29</f>
        <v>7000</v>
      </c>
      <c r="E13">
        <f>C13-'Decision Support'!$H$29</f>
        <v>-7000</v>
      </c>
      <c r="F13">
        <f t="shared" si="2"/>
        <v>0</v>
      </c>
    </row>
    <row r="14" spans="1:11" x14ac:dyDescent="0.25">
      <c r="A14">
        <f t="shared" si="1"/>
        <v>13</v>
      </c>
      <c r="C14">
        <v>0</v>
      </c>
      <c r="D14">
        <f>C14+'Decision Support'!$H$29</f>
        <v>7000</v>
      </c>
      <c r="E14">
        <f>C14-'Decision Support'!$H$29</f>
        <v>-7000</v>
      </c>
      <c r="F14">
        <f t="shared" si="2"/>
        <v>0</v>
      </c>
    </row>
    <row r="15" spans="1:11" x14ac:dyDescent="0.25">
      <c r="A15">
        <f t="shared" si="1"/>
        <v>14</v>
      </c>
      <c r="C15">
        <v>0</v>
      </c>
      <c r="D15">
        <f>C15+'Decision Support'!$H$29</f>
        <v>7000</v>
      </c>
      <c r="E15">
        <f>C15-'Decision Support'!$H$29</f>
        <v>-7000</v>
      </c>
      <c r="F15">
        <f t="shared" si="2"/>
        <v>0</v>
      </c>
    </row>
    <row r="16" spans="1:11" x14ac:dyDescent="0.25">
      <c r="A16">
        <f t="shared" si="1"/>
        <v>15</v>
      </c>
      <c r="C16">
        <v>0</v>
      </c>
      <c r="D16">
        <f>C16+'Decision Support'!$H$29</f>
        <v>7000</v>
      </c>
      <c r="E16">
        <f>C16-'Decision Support'!$H$29</f>
        <v>-7000</v>
      </c>
      <c r="F16">
        <f t="shared" si="2"/>
        <v>0</v>
      </c>
    </row>
    <row r="17" spans="1:6" x14ac:dyDescent="0.25">
      <c r="A17">
        <f t="shared" si="1"/>
        <v>16</v>
      </c>
      <c r="C17">
        <v>0</v>
      </c>
      <c r="D17">
        <f>C17+'Decision Support'!$H$29</f>
        <v>7000</v>
      </c>
      <c r="E17">
        <f>C17-'Decision Support'!$H$29</f>
        <v>-7000</v>
      </c>
      <c r="F17">
        <f t="shared" si="2"/>
        <v>0</v>
      </c>
    </row>
    <row r="18" spans="1:6" x14ac:dyDescent="0.25">
      <c r="A18">
        <f t="shared" si="1"/>
        <v>17</v>
      </c>
      <c r="C18">
        <v>0</v>
      </c>
      <c r="D18">
        <f>C18+'Decision Support'!$H$29</f>
        <v>7000</v>
      </c>
      <c r="E18">
        <f>C18-'Decision Support'!$H$29</f>
        <v>-7000</v>
      </c>
      <c r="F18">
        <f t="shared" si="2"/>
        <v>0</v>
      </c>
    </row>
    <row r="19" spans="1:6" x14ac:dyDescent="0.25">
      <c r="A19">
        <f t="shared" si="1"/>
        <v>18</v>
      </c>
      <c r="C19">
        <v>0</v>
      </c>
      <c r="D19">
        <f>C19+'Decision Support'!$H$29</f>
        <v>7000</v>
      </c>
      <c r="E19">
        <f>C19-'Decision Support'!$H$29</f>
        <v>-7000</v>
      </c>
      <c r="F19">
        <f t="shared" si="2"/>
        <v>0</v>
      </c>
    </row>
    <row r="20" spans="1:6" x14ac:dyDescent="0.25">
      <c r="A20">
        <f t="shared" si="1"/>
        <v>19</v>
      </c>
      <c r="C20">
        <v>0</v>
      </c>
      <c r="D20">
        <f>C20+'Decision Support'!$H$29</f>
        <v>7000</v>
      </c>
      <c r="E20">
        <f>C20-'Decision Support'!$H$29</f>
        <v>-7000</v>
      </c>
      <c r="F20">
        <f t="shared" si="2"/>
        <v>0</v>
      </c>
    </row>
    <row r="21" spans="1:6" x14ac:dyDescent="0.25">
      <c r="A21">
        <f t="shared" si="1"/>
        <v>20</v>
      </c>
      <c r="C21">
        <v>0</v>
      </c>
      <c r="D21">
        <f>C21+'Decision Support'!$H$29</f>
        <v>7000</v>
      </c>
      <c r="E21">
        <f>C21-'Decision Support'!$H$29</f>
        <v>-7000</v>
      </c>
      <c r="F21">
        <f t="shared" si="2"/>
        <v>0</v>
      </c>
    </row>
    <row r="22" spans="1:6" x14ac:dyDescent="0.25">
      <c r="A22">
        <f t="shared" si="1"/>
        <v>21</v>
      </c>
      <c r="C22">
        <v>0</v>
      </c>
      <c r="D22">
        <f>C22+'Decision Support'!$H$29</f>
        <v>7000</v>
      </c>
      <c r="E22">
        <f>C22-'Decision Support'!$H$29</f>
        <v>-7000</v>
      </c>
      <c r="F22">
        <f t="shared" si="2"/>
        <v>0</v>
      </c>
    </row>
    <row r="23" spans="1:6" x14ac:dyDescent="0.25">
      <c r="A23">
        <f t="shared" si="1"/>
        <v>22</v>
      </c>
      <c r="C23">
        <v>0</v>
      </c>
      <c r="D23">
        <f>C23+'Decision Support'!$H$29</f>
        <v>7000</v>
      </c>
      <c r="E23">
        <f>C23-'Decision Support'!$H$29</f>
        <v>-7000</v>
      </c>
      <c r="F23">
        <f t="shared" si="2"/>
        <v>0</v>
      </c>
    </row>
    <row r="24" spans="1:6" x14ac:dyDescent="0.25">
      <c r="A24">
        <f t="shared" si="1"/>
        <v>23</v>
      </c>
      <c r="C24">
        <v>0</v>
      </c>
      <c r="D24">
        <f>C24+'Decision Support'!$H$29</f>
        <v>7000</v>
      </c>
      <c r="E24">
        <f>C24-'Decision Support'!$H$29</f>
        <v>-7000</v>
      </c>
      <c r="F24">
        <f t="shared" si="2"/>
        <v>0</v>
      </c>
    </row>
    <row r="25" spans="1:6" x14ac:dyDescent="0.25">
      <c r="A25">
        <f t="shared" si="1"/>
        <v>24</v>
      </c>
      <c r="C25">
        <v>0</v>
      </c>
      <c r="D25">
        <f>C25+'Decision Support'!$H$29</f>
        <v>7000</v>
      </c>
      <c r="E25">
        <f>C25-'Decision Support'!$H$29</f>
        <v>-7000</v>
      </c>
      <c r="F25">
        <f t="shared" si="2"/>
        <v>0</v>
      </c>
    </row>
    <row r="26" spans="1:6" x14ac:dyDescent="0.25">
      <c r="A26">
        <f t="shared" si="1"/>
        <v>25</v>
      </c>
      <c r="C26">
        <v>0</v>
      </c>
      <c r="D26">
        <f>C26+'Decision Support'!$H$29</f>
        <v>7000</v>
      </c>
      <c r="E26">
        <f>C26-'Decision Support'!$H$29</f>
        <v>-7000</v>
      </c>
      <c r="F26">
        <f t="shared" si="2"/>
        <v>0</v>
      </c>
    </row>
    <row r="27" spans="1:6" x14ac:dyDescent="0.25">
      <c r="A27">
        <f t="shared" si="1"/>
        <v>26</v>
      </c>
      <c r="C27">
        <v>0</v>
      </c>
      <c r="D27">
        <f>C27+'Decision Support'!$H$29</f>
        <v>7000</v>
      </c>
      <c r="E27">
        <f>C27-'Decision Support'!$H$29</f>
        <v>-7000</v>
      </c>
      <c r="F27">
        <f t="shared" si="2"/>
        <v>0</v>
      </c>
    </row>
    <row r="28" spans="1:6" x14ac:dyDescent="0.25">
      <c r="A28">
        <f t="shared" si="1"/>
        <v>27</v>
      </c>
      <c r="C28">
        <v>0</v>
      </c>
      <c r="D28">
        <f>C28+'Decision Support'!$H$29</f>
        <v>7000</v>
      </c>
      <c r="E28">
        <f>C28-'Decision Support'!$H$29</f>
        <v>-7000</v>
      </c>
      <c r="F28">
        <f t="shared" si="2"/>
        <v>0</v>
      </c>
    </row>
    <row r="29" spans="1:6" x14ac:dyDescent="0.25">
      <c r="A29">
        <f t="shared" si="1"/>
        <v>28</v>
      </c>
      <c r="C29">
        <v>0</v>
      </c>
      <c r="D29">
        <f>C29+'Decision Support'!$H$29</f>
        <v>7000</v>
      </c>
      <c r="E29">
        <f>C29-'Decision Support'!$H$29</f>
        <v>-7000</v>
      </c>
      <c r="F29">
        <f t="shared" si="2"/>
        <v>0</v>
      </c>
    </row>
    <row r="30" spans="1:6" x14ac:dyDescent="0.25">
      <c r="A30">
        <f t="shared" si="1"/>
        <v>29</v>
      </c>
      <c r="C30">
        <v>0</v>
      </c>
      <c r="D30">
        <f>C30+'Decision Support'!$H$29</f>
        <v>7000</v>
      </c>
      <c r="E30">
        <f>C30-'Decision Support'!$H$29</f>
        <v>-7000</v>
      </c>
      <c r="F30">
        <f t="shared" si="2"/>
        <v>0</v>
      </c>
    </row>
    <row r="31" spans="1:6" x14ac:dyDescent="0.25">
      <c r="A31">
        <f t="shared" si="1"/>
        <v>30</v>
      </c>
      <c r="C31">
        <v>0</v>
      </c>
      <c r="D31">
        <f>C31+'Decision Support'!$H$29</f>
        <v>7000</v>
      </c>
      <c r="E31">
        <f>C31-'Decision Support'!$H$29</f>
        <v>-7000</v>
      </c>
      <c r="F31">
        <f t="shared" si="2"/>
        <v>0</v>
      </c>
    </row>
    <row r="32" spans="1:6" x14ac:dyDescent="0.25">
      <c r="A32">
        <f t="shared" si="1"/>
        <v>31</v>
      </c>
      <c r="C32">
        <v>0</v>
      </c>
      <c r="D32">
        <f>C32+'Decision Support'!$H$29</f>
        <v>7000</v>
      </c>
      <c r="E32">
        <f>C32-'Decision Support'!$H$29</f>
        <v>-7000</v>
      </c>
      <c r="F32">
        <f t="shared" si="2"/>
        <v>0</v>
      </c>
    </row>
    <row r="33" spans="1:6" x14ac:dyDescent="0.25">
      <c r="A33">
        <f t="shared" si="1"/>
        <v>32</v>
      </c>
      <c r="C33">
        <v>0</v>
      </c>
      <c r="D33">
        <f>C33+'Decision Support'!$H$29</f>
        <v>7000</v>
      </c>
      <c r="E33">
        <f>C33-'Decision Support'!$H$29</f>
        <v>-7000</v>
      </c>
      <c r="F33">
        <f t="shared" si="2"/>
        <v>0</v>
      </c>
    </row>
    <row r="34" spans="1:6" x14ac:dyDescent="0.25">
      <c r="A34">
        <f t="shared" si="1"/>
        <v>33</v>
      </c>
      <c r="C34">
        <v>0</v>
      </c>
      <c r="D34">
        <f>C34+'Decision Support'!$H$29</f>
        <v>7000</v>
      </c>
      <c r="E34">
        <f>C34-'Decision Support'!$H$29</f>
        <v>-7000</v>
      </c>
      <c r="F34">
        <f t="shared" si="2"/>
        <v>0</v>
      </c>
    </row>
    <row r="35" spans="1:6" x14ac:dyDescent="0.25">
      <c r="A35">
        <f t="shared" si="1"/>
        <v>34</v>
      </c>
      <c r="C35">
        <v>0</v>
      </c>
      <c r="D35">
        <f>C35+'Decision Support'!$H$29</f>
        <v>7000</v>
      </c>
      <c r="E35">
        <f>C35-'Decision Support'!$H$29</f>
        <v>-7000</v>
      </c>
      <c r="F35">
        <f t="shared" si="2"/>
        <v>0</v>
      </c>
    </row>
    <row r="36" spans="1:6" x14ac:dyDescent="0.25">
      <c r="A36">
        <f t="shared" si="1"/>
        <v>35</v>
      </c>
      <c r="C36">
        <v>0</v>
      </c>
      <c r="D36">
        <f>C36+'Decision Support'!$H$29</f>
        <v>7000</v>
      </c>
      <c r="E36">
        <f>C36-'Decision Support'!$H$29</f>
        <v>-7000</v>
      </c>
      <c r="F36">
        <f t="shared" si="2"/>
        <v>0</v>
      </c>
    </row>
    <row r="37" spans="1:6" x14ac:dyDescent="0.25">
      <c r="A37">
        <f t="shared" si="1"/>
        <v>36</v>
      </c>
      <c r="C37">
        <v>0</v>
      </c>
      <c r="D37">
        <f>C37+'Decision Support'!$H$29</f>
        <v>7000</v>
      </c>
      <c r="E37">
        <f>C37-'Decision Support'!$H$29</f>
        <v>-7000</v>
      </c>
      <c r="F37">
        <f t="shared" si="2"/>
        <v>0</v>
      </c>
    </row>
    <row r="38" spans="1:6" x14ac:dyDescent="0.25">
      <c r="A38">
        <f t="shared" si="1"/>
        <v>37</v>
      </c>
      <c r="C38">
        <v>0</v>
      </c>
      <c r="D38">
        <f>C38+'Decision Support'!$H$29</f>
        <v>7000</v>
      </c>
      <c r="E38">
        <f>C38-'Decision Support'!$H$29</f>
        <v>-7000</v>
      </c>
      <c r="F38">
        <f t="shared" si="2"/>
        <v>0</v>
      </c>
    </row>
    <row r="39" spans="1:6" x14ac:dyDescent="0.25">
      <c r="A39">
        <f t="shared" si="1"/>
        <v>38</v>
      </c>
      <c r="C39">
        <v>0</v>
      </c>
      <c r="D39">
        <f>C39+'Decision Support'!$H$29</f>
        <v>7000</v>
      </c>
      <c r="E39">
        <f>C39-'Decision Support'!$H$29</f>
        <v>-7000</v>
      </c>
      <c r="F39">
        <f t="shared" si="2"/>
        <v>0</v>
      </c>
    </row>
    <row r="40" spans="1:6" x14ac:dyDescent="0.25">
      <c r="A40">
        <f t="shared" si="1"/>
        <v>39</v>
      </c>
      <c r="C40">
        <v>0</v>
      </c>
      <c r="D40">
        <f>C40+'Decision Support'!$H$29</f>
        <v>7000</v>
      </c>
      <c r="E40">
        <f>C40-'Decision Support'!$H$29</f>
        <v>-7000</v>
      </c>
      <c r="F40">
        <f t="shared" si="2"/>
        <v>0</v>
      </c>
    </row>
    <row r="41" spans="1:6" x14ac:dyDescent="0.25">
      <c r="A41">
        <f t="shared" si="1"/>
        <v>40</v>
      </c>
      <c r="C41">
        <v>0</v>
      </c>
      <c r="D41">
        <f>C41+'Decision Support'!$H$29</f>
        <v>7000</v>
      </c>
      <c r="E41">
        <f>C41-'Decision Support'!$H$29</f>
        <v>-7000</v>
      </c>
      <c r="F41">
        <f t="shared" si="2"/>
        <v>0</v>
      </c>
    </row>
    <row r="42" spans="1:6" x14ac:dyDescent="0.25">
      <c r="A42">
        <f t="shared" si="1"/>
        <v>41</v>
      </c>
      <c r="C42">
        <v>0</v>
      </c>
      <c r="D42">
        <f>C42+'Decision Support'!$H$29</f>
        <v>7000</v>
      </c>
      <c r="E42">
        <f>C42-'Decision Support'!$H$29</f>
        <v>-7000</v>
      </c>
      <c r="F42">
        <f t="shared" si="2"/>
        <v>0</v>
      </c>
    </row>
    <row r="43" spans="1:6" x14ac:dyDescent="0.25">
      <c r="A43">
        <f t="shared" si="1"/>
        <v>42</v>
      </c>
      <c r="C43">
        <v>0</v>
      </c>
      <c r="D43">
        <f>C43+'Decision Support'!$H$29</f>
        <v>7000</v>
      </c>
      <c r="E43">
        <f>C43-'Decision Support'!$H$29</f>
        <v>-7000</v>
      </c>
      <c r="F43">
        <f t="shared" si="2"/>
        <v>0</v>
      </c>
    </row>
    <row r="44" spans="1:6" x14ac:dyDescent="0.25">
      <c r="A44">
        <f t="shared" si="1"/>
        <v>43</v>
      </c>
      <c r="C44">
        <v>0</v>
      </c>
      <c r="D44">
        <f>C44+'Decision Support'!$H$29</f>
        <v>7000</v>
      </c>
      <c r="E44">
        <f>C44-'Decision Support'!$H$29</f>
        <v>-7000</v>
      </c>
      <c r="F44">
        <f t="shared" si="2"/>
        <v>0</v>
      </c>
    </row>
    <row r="45" spans="1:6" x14ac:dyDescent="0.25">
      <c r="A45">
        <f t="shared" si="1"/>
        <v>44</v>
      </c>
      <c r="C45">
        <v>0</v>
      </c>
      <c r="D45">
        <f>C45+'Decision Support'!$H$29</f>
        <v>7000</v>
      </c>
      <c r="E45">
        <f>C45-'Decision Support'!$H$29</f>
        <v>-7000</v>
      </c>
      <c r="F45">
        <f t="shared" si="2"/>
        <v>0</v>
      </c>
    </row>
    <row r="46" spans="1:6" x14ac:dyDescent="0.25">
      <c r="A46">
        <f t="shared" si="1"/>
        <v>45</v>
      </c>
      <c r="C46">
        <v>0</v>
      </c>
      <c r="D46">
        <f>C46+'Decision Support'!$H$29</f>
        <v>7000</v>
      </c>
      <c r="E46">
        <f>C46-'Decision Support'!$H$29</f>
        <v>-7000</v>
      </c>
      <c r="F46">
        <f t="shared" si="2"/>
        <v>0</v>
      </c>
    </row>
    <row r="47" spans="1:6" x14ac:dyDescent="0.25">
      <c r="A47">
        <f t="shared" si="1"/>
        <v>46</v>
      </c>
      <c r="C47">
        <v>0</v>
      </c>
      <c r="D47">
        <f>C47+'Decision Support'!$H$29</f>
        <v>7000</v>
      </c>
      <c r="E47">
        <f>C47-'Decision Support'!$H$29</f>
        <v>-7000</v>
      </c>
      <c r="F47">
        <f t="shared" si="2"/>
        <v>0</v>
      </c>
    </row>
    <row r="48" spans="1:6" x14ac:dyDescent="0.25">
      <c r="A48">
        <f t="shared" si="1"/>
        <v>47</v>
      </c>
      <c r="C48">
        <v>0</v>
      </c>
      <c r="D48">
        <f>C48+'Decision Support'!$H$29</f>
        <v>7000</v>
      </c>
      <c r="E48">
        <f>C48-'Decision Support'!$H$29</f>
        <v>-7000</v>
      </c>
      <c r="F48">
        <f t="shared" si="2"/>
        <v>0</v>
      </c>
    </row>
    <row r="49" spans="1:6" x14ac:dyDescent="0.25">
      <c r="A49">
        <f t="shared" si="1"/>
        <v>48</v>
      </c>
      <c r="C49">
        <v>0</v>
      </c>
      <c r="D49">
        <f>C49+'Decision Support'!$H$29</f>
        <v>7000</v>
      </c>
      <c r="E49">
        <f>C49-'Decision Support'!$H$29</f>
        <v>-7000</v>
      </c>
      <c r="F49">
        <f t="shared" si="2"/>
        <v>0</v>
      </c>
    </row>
    <row r="50" spans="1:6" x14ac:dyDescent="0.25">
      <c r="A50">
        <f t="shared" si="1"/>
        <v>49</v>
      </c>
      <c r="C50">
        <v>0</v>
      </c>
      <c r="D50">
        <f>C50+'Decision Support'!$H$29</f>
        <v>7000</v>
      </c>
      <c r="E50">
        <f>C50-'Decision Support'!$H$29</f>
        <v>-7000</v>
      </c>
      <c r="F50">
        <f t="shared" si="2"/>
        <v>0</v>
      </c>
    </row>
    <row r="51" spans="1:6" x14ac:dyDescent="0.25">
      <c r="A51">
        <f t="shared" si="1"/>
        <v>50</v>
      </c>
      <c r="C51">
        <v>0</v>
      </c>
      <c r="D51">
        <f>C51+'Decision Support'!$H$29</f>
        <v>7000</v>
      </c>
      <c r="E51">
        <f>C51-'Decision Support'!$H$29</f>
        <v>-7000</v>
      </c>
      <c r="F51">
        <f t="shared" si="2"/>
        <v>0</v>
      </c>
    </row>
    <row r="52" spans="1:6" x14ac:dyDescent="0.25">
      <c r="A52">
        <f t="shared" si="1"/>
        <v>51</v>
      </c>
      <c r="C52">
        <v>0</v>
      </c>
      <c r="D52">
        <f>C52+'Decision Support'!$H$29</f>
        <v>7000</v>
      </c>
      <c r="E52">
        <f>C52-'Decision Support'!$H$29</f>
        <v>-7000</v>
      </c>
      <c r="F52">
        <f t="shared" si="2"/>
        <v>0</v>
      </c>
    </row>
    <row r="53" spans="1:6" x14ac:dyDescent="0.25">
      <c r="A53">
        <f t="shared" si="1"/>
        <v>52</v>
      </c>
      <c r="C53">
        <v>0</v>
      </c>
      <c r="D53">
        <f>C53+'Decision Support'!$H$29</f>
        <v>7000</v>
      </c>
      <c r="E53">
        <f>C53-'Decision Support'!$H$29</f>
        <v>-7000</v>
      </c>
      <c r="F53">
        <f t="shared" si="2"/>
        <v>0</v>
      </c>
    </row>
    <row r="54" spans="1:6" x14ac:dyDescent="0.25">
      <c r="A54">
        <f t="shared" si="1"/>
        <v>53</v>
      </c>
      <c r="C54">
        <v>0</v>
      </c>
      <c r="D54">
        <f>C54+'Decision Support'!$H$29</f>
        <v>7000</v>
      </c>
      <c r="E54">
        <f>C54-'Decision Support'!$H$29</f>
        <v>-7000</v>
      </c>
      <c r="F54">
        <f t="shared" si="2"/>
        <v>0</v>
      </c>
    </row>
    <row r="55" spans="1:6" x14ac:dyDescent="0.25">
      <c r="A55">
        <f t="shared" si="1"/>
        <v>54</v>
      </c>
      <c r="C55">
        <v>0</v>
      </c>
      <c r="D55">
        <f>C55+'Decision Support'!$H$29</f>
        <v>7000</v>
      </c>
      <c r="E55">
        <f>C55-'Decision Support'!$H$29</f>
        <v>-7000</v>
      </c>
      <c r="F55">
        <f t="shared" si="2"/>
        <v>0</v>
      </c>
    </row>
    <row r="56" spans="1:6" x14ac:dyDescent="0.25">
      <c r="A56">
        <f t="shared" si="1"/>
        <v>55</v>
      </c>
      <c r="C56">
        <v>0</v>
      </c>
      <c r="D56">
        <f>C56+'Decision Support'!$H$29</f>
        <v>7000</v>
      </c>
      <c r="E56">
        <f>C56-'Decision Support'!$H$29</f>
        <v>-7000</v>
      </c>
      <c r="F56">
        <f t="shared" si="2"/>
        <v>0</v>
      </c>
    </row>
    <row r="57" spans="1:6" x14ac:dyDescent="0.25">
      <c r="A57">
        <f t="shared" si="1"/>
        <v>56</v>
      </c>
      <c r="C57">
        <v>0</v>
      </c>
      <c r="D57">
        <f>C57+'Decision Support'!$H$29</f>
        <v>7000</v>
      </c>
      <c r="E57">
        <f>C57-'Decision Support'!$H$29</f>
        <v>-7000</v>
      </c>
      <c r="F57">
        <f t="shared" si="2"/>
        <v>0</v>
      </c>
    </row>
    <row r="58" spans="1:6" x14ac:dyDescent="0.25">
      <c r="A58">
        <f t="shared" si="1"/>
        <v>57</v>
      </c>
      <c r="C58">
        <v>0</v>
      </c>
      <c r="D58">
        <f>C58+'Decision Support'!$H$29</f>
        <v>7000</v>
      </c>
      <c r="E58">
        <f>C58-'Decision Support'!$H$29</f>
        <v>-7000</v>
      </c>
      <c r="F58">
        <f t="shared" si="2"/>
        <v>0</v>
      </c>
    </row>
    <row r="59" spans="1:6" x14ac:dyDescent="0.25">
      <c r="A59">
        <f t="shared" si="1"/>
        <v>58</v>
      </c>
      <c r="C59">
        <v>0</v>
      </c>
      <c r="D59">
        <f>C59+'Decision Support'!$H$29</f>
        <v>7000</v>
      </c>
      <c r="E59">
        <f>C59-'Decision Support'!$H$29</f>
        <v>-7000</v>
      </c>
      <c r="F59">
        <f t="shared" si="2"/>
        <v>0</v>
      </c>
    </row>
    <row r="60" spans="1:6" x14ac:dyDescent="0.25">
      <c r="A60">
        <f t="shared" si="1"/>
        <v>59</v>
      </c>
      <c r="C60">
        <v>0</v>
      </c>
      <c r="D60">
        <f>C60+'Decision Support'!$H$29</f>
        <v>7000</v>
      </c>
      <c r="E60">
        <f>C60-'Decision Support'!$H$29</f>
        <v>-7000</v>
      </c>
      <c r="F60">
        <f t="shared" si="2"/>
        <v>0</v>
      </c>
    </row>
    <row r="61" spans="1:6" x14ac:dyDescent="0.25">
      <c r="A61">
        <f t="shared" si="1"/>
        <v>60</v>
      </c>
      <c r="C61">
        <v>0</v>
      </c>
      <c r="D61">
        <f>C61+'Decision Support'!$H$29</f>
        <v>7000</v>
      </c>
      <c r="E61">
        <f>C61-'Decision Support'!$H$29</f>
        <v>-7000</v>
      </c>
      <c r="F61">
        <f t="shared" si="2"/>
        <v>0</v>
      </c>
    </row>
    <row r="62" spans="1:6" x14ac:dyDescent="0.25">
      <c r="A62">
        <f t="shared" si="1"/>
        <v>61</v>
      </c>
      <c r="C62">
        <v>0</v>
      </c>
      <c r="D62">
        <f>C62+'Decision Support'!$H$29</f>
        <v>7000</v>
      </c>
      <c r="E62">
        <f>C62-'Decision Support'!$H$29</f>
        <v>-7000</v>
      </c>
      <c r="F62">
        <f t="shared" si="2"/>
        <v>0</v>
      </c>
    </row>
    <row r="63" spans="1:6" x14ac:dyDescent="0.25">
      <c r="A63">
        <f t="shared" si="1"/>
        <v>62</v>
      </c>
      <c r="C63">
        <v>0</v>
      </c>
      <c r="D63">
        <f>C63+'Decision Support'!$H$29</f>
        <v>7000</v>
      </c>
      <c r="E63">
        <f>C63-'Decision Support'!$H$29</f>
        <v>-7000</v>
      </c>
      <c r="F63">
        <f t="shared" si="2"/>
        <v>0</v>
      </c>
    </row>
    <row r="64" spans="1:6" x14ac:dyDescent="0.25">
      <c r="A64">
        <f t="shared" si="1"/>
        <v>63</v>
      </c>
      <c r="C64">
        <v>0</v>
      </c>
      <c r="D64">
        <f>C64+'Decision Support'!$H$29</f>
        <v>7000</v>
      </c>
      <c r="E64">
        <f>C64-'Decision Support'!$H$29</f>
        <v>-7000</v>
      </c>
      <c r="F64">
        <f t="shared" si="2"/>
        <v>0</v>
      </c>
    </row>
    <row r="65" spans="1:6" x14ac:dyDescent="0.25">
      <c r="A65">
        <f t="shared" si="1"/>
        <v>64</v>
      </c>
      <c r="C65">
        <v>0</v>
      </c>
      <c r="D65">
        <f>C65+'Decision Support'!$H$29</f>
        <v>7000</v>
      </c>
      <c r="E65">
        <f>C65-'Decision Support'!$H$29</f>
        <v>-7000</v>
      </c>
      <c r="F65">
        <f t="shared" si="2"/>
        <v>0</v>
      </c>
    </row>
    <row r="66" spans="1:6" x14ac:dyDescent="0.25">
      <c r="A66">
        <f t="shared" si="1"/>
        <v>65</v>
      </c>
      <c r="C66">
        <v>0</v>
      </c>
      <c r="D66">
        <f>C66+'Decision Support'!$H$29</f>
        <v>7000</v>
      </c>
      <c r="E66">
        <f>C66-'Decision Support'!$H$29</f>
        <v>-7000</v>
      </c>
      <c r="F66">
        <f t="shared" si="2"/>
        <v>0</v>
      </c>
    </row>
    <row r="67" spans="1:6" x14ac:dyDescent="0.25">
      <c r="A67">
        <f t="shared" ref="A67:A130" si="3">A66+1</f>
        <v>66</v>
      </c>
      <c r="C67">
        <v>0</v>
      </c>
      <c r="D67">
        <f>C67+'Decision Support'!$H$29</f>
        <v>7000</v>
      </c>
      <c r="E67">
        <f>C67-'Decision Support'!$H$29</f>
        <v>-7000</v>
      </c>
      <c r="F67">
        <f t="shared" si="2"/>
        <v>0</v>
      </c>
    </row>
    <row r="68" spans="1:6" x14ac:dyDescent="0.25">
      <c r="A68">
        <f t="shared" si="3"/>
        <v>67</v>
      </c>
      <c r="C68">
        <v>0</v>
      </c>
      <c r="D68">
        <f>C68+'Decision Support'!$H$29</f>
        <v>7000</v>
      </c>
      <c r="E68">
        <f>C68-'Decision Support'!$H$29</f>
        <v>-7000</v>
      </c>
      <c r="F68">
        <f t="shared" si="2"/>
        <v>0</v>
      </c>
    </row>
    <row r="69" spans="1:6" x14ac:dyDescent="0.25">
      <c r="A69">
        <f t="shared" si="3"/>
        <v>68</v>
      </c>
      <c r="C69">
        <v>0</v>
      </c>
      <c r="D69">
        <f>C69+'Decision Support'!$H$29</f>
        <v>7000</v>
      </c>
      <c r="E69">
        <f>C69-'Decision Support'!$H$29</f>
        <v>-7000</v>
      </c>
      <c r="F69">
        <f t="shared" si="2"/>
        <v>0</v>
      </c>
    </row>
    <row r="70" spans="1:6" x14ac:dyDescent="0.25">
      <c r="A70">
        <f t="shared" si="3"/>
        <v>69</v>
      </c>
      <c r="C70">
        <v>0</v>
      </c>
      <c r="D70">
        <f>C70+'Decision Support'!$H$29</f>
        <v>7000</v>
      </c>
      <c r="E70">
        <f>C70-'Decision Support'!$H$29</f>
        <v>-7000</v>
      </c>
      <c r="F70">
        <f t="shared" ref="F70:F133" si="4">IF(ABS(B70)&gt;7000,(ABS(B70)-7000)*$I$7,)</f>
        <v>0</v>
      </c>
    </row>
    <row r="71" spans="1:6" x14ac:dyDescent="0.25">
      <c r="A71">
        <f t="shared" si="3"/>
        <v>70</v>
      </c>
      <c r="C71">
        <v>0</v>
      </c>
      <c r="D71">
        <f>C71+'Decision Support'!$H$29</f>
        <v>7000</v>
      </c>
      <c r="E71">
        <f>C71-'Decision Support'!$H$29</f>
        <v>-7000</v>
      </c>
      <c r="F71">
        <f t="shared" si="4"/>
        <v>0</v>
      </c>
    </row>
    <row r="72" spans="1:6" x14ac:dyDescent="0.25">
      <c r="A72">
        <f t="shared" si="3"/>
        <v>71</v>
      </c>
      <c r="C72">
        <v>0</v>
      </c>
      <c r="D72">
        <f>C72+'Decision Support'!$H$29</f>
        <v>7000</v>
      </c>
      <c r="E72">
        <f>C72-'Decision Support'!$H$29</f>
        <v>-7000</v>
      </c>
      <c r="F72">
        <f t="shared" si="4"/>
        <v>0</v>
      </c>
    </row>
    <row r="73" spans="1:6" x14ac:dyDescent="0.25">
      <c r="A73">
        <f t="shared" si="3"/>
        <v>72</v>
      </c>
      <c r="C73">
        <v>0</v>
      </c>
      <c r="D73">
        <f>C73+'Decision Support'!$H$29</f>
        <v>7000</v>
      </c>
      <c r="E73">
        <f>C73-'Decision Support'!$H$29</f>
        <v>-7000</v>
      </c>
      <c r="F73">
        <f t="shared" si="4"/>
        <v>0</v>
      </c>
    </row>
    <row r="74" spans="1:6" x14ac:dyDescent="0.25">
      <c r="A74">
        <f t="shared" si="3"/>
        <v>73</v>
      </c>
      <c r="C74">
        <v>0</v>
      </c>
      <c r="D74">
        <f>C74+'Decision Support'!$H$29</f>
        <v>7000</v>
      </c>
      <c r="E74">
        <f>C74-'Decision Support'!$H$29</f>
        <v>-7000</v>
      </c>
      <c r="F74">
        <f t="shared" si="4"/>
        <v>0</v>
      </c>
    </row>
    <row r="75" spans="1:6" x14ac:dyDescent="0.25">
      <c r="A75">
        <f t="shared" si="3"/>
        <v>74</v>
      </c>
      <c r="C75">
        <v>0</v>
      </c>
      <c r="D75">
        <f>C75+'Decision Support'!$H$29</f>
        <v>7000</v>
      </c>
      <c r="E75">
        <f>C75-'Decision Support'!$H$29</f>
        <v>-7000</v>
      </c>
      <c r="F75">
        <f t="shared" si="4"/>
        <v>0</v>
      </c>
    </row>
    <row r="76" spans="1:6" x14ac:dyDescent="0.25">
      <c r="A76">
        <f t="shared" si="3"/>
        <v>75</v>
      </c>
      <c r="C76">
        <v>0</v>
      </c>
      <c r="D76">
        <f>C76+'Decision Support'!$H$29</f>
        <v>7000</v>
      </c>
      <c r="E76">
        <f>C76-'Decision Support'!$H$29</f>
        <v>-7000</v>
      </c>
      <c r="F76">
        <f t="shared" si="4"/>
        <v>0</v>
      </c>
    </row>
    <row r="77" spans="1:6" x14ac:dyDescent="0.25">
      <c r="A77">
        <f t="shared" si="3"/>
        <v>76</v>
      </c>
      <c r="C77">
        <v>0</v>
      </c>
      <c r="D77">
        <f>C77+'Decision Support'!$H$29</f>
        <v>7000</v>
      </c>
      <c r="E77">
        <f>C77-'Decision Support'!$H$29</f>
        <v>-7000</v>
      </c>
      <c r="F77">
        <f t="shared" si="4"/>
        <v>0</v>
      </c>
    </row>
    <row r="78" spans="1:6" x14ac:dyDescent="0.25">
      <c r="A78">
        <f t="shared" si="3"/>
        <v>77</v>
      </c>
      <c r="C78">
        <v>0</v>
      </c>
      <c r="D78">
        <f>C78+'Decision Support'!$H$29</f>
        <v>7000</v>
      </c>
      <c r="E78">
        <f>C78-'Decision Support'!$H$29</f>
        <v>-7000</v>
      </c>
      <c r="F78">
        <f t="shared" si="4"/>
        <v>0</v>
      </c>
    </row>
    <row r="79" spans="1:6" x14ac:dyDescent="0.25">
      <c r="A79">
        <f t="shared" si="3"/>
        <v>78</v>
      </c>
      <c r="C79">
        <v>0</v>
      </c>
      <c r="D79">
        <f>C79+'Decision Support'!$H$29</f>
        <v>7000</v>
      </c>
      <c r="E79">
        <f>C79-'Decision Support'!$H$29</f>
        <v>-7000</v>
      </c>
      <c r="F79">
        <f t="shared" si="4"/>
        <v>0</v>
      </c>
    </row>
    <row r="80" spans="1:6" x14ac:dyDescent="0.25">
      <c r="A80">
        <f t="shared" si="3"/>
        <v>79</v>
      </c>
      <c r="C80">
        <v>0</v>
      </c>
      <c r="D80">
        <f>C80+'Decision Support'!$H$29</f>
        <v>7000</v>
      </c>
      <c r="E80">
        <f>C80-'Decision Support'!$H$29</f>
        <v>-7000</v>
      </c>
      <c r="F80">
        <f t="shared" si="4"/>
        <v>0</v>
      </c>
    </row>
    <row r="81" spans="1:6" x14ac:dyDescent="0.25">
      <c r="A81">
        <f t="shared" si="3"/>
        <v>80</v>
      </c>
      <c r="C81">
        <v>0</v>
      </c>
      <c r="D81">
        <f>C81+'Decision Support'!$H$29</f>
        <v>7000</v>
      </c>
      <c r="E81">
        <f>C81-'Decision Support'!$H$29</f>
        <v>-7000</v>
      </c>
      <c r="F81">
        <f t="shared" si="4"/>
        <v>0</v>
      </c>
    </row>
    <row r="82" spans="1:6" x14ac:dyDescent="0.25">
      <c r="A82">
        <f t="shared" si="3"/>
        <v>81</v>
      </c>
      <c r="C82">
        <v>0</v>
      </c>
      <c r="D82">
        <f>C82+'Decision Support'!$H$29</f>
        <v>7000</v>
      </c>
      <c r="E82">
        <f>C82-'Decision Support'!$H$29</f>
        <v>-7000</v>
      </c>
      <c r="F82">
        <f t="shared" si="4"/>
        <v>0</v>
      </c>
    </row>
    <row r="83" spans="1:6" x14ac:dyDescent="0.25">
      <c r="A83">
        <f t="shared" si="3"/>
        <v>82</v>
      </c>
      <c r="C83">
        <v>0</v>
      </c>
      <c r="D83">
        <f>C83+'Decision Support'!$H$29</f>
        <v>7000</v>
      </c>
      <c r="E83">
        <f>C83-'Decision Support'!$H$29</f>
        <v>-7000</v>
      </c>
      <c r="F83">
        <f t="shared" si="4"/>
        <v>0</v>
      </c>
    </row>
    <row r="84" spans="1:6" x14ac:dyDescent="0.25">
      <c r="A84">
        <f t="shared" si="3"/>
        <v>83</v>
      </c>
      <c r="C84">
        <v>0</v>
      </c>
      <c r="D84">
        <f>C84+'Decision Support'!$H$29</f>
        <v>7000</v>
      </c>
      <c r="E84">
        <f>C84-'Decision Support'!$H$29</f>
        <v>-7000</v>
      </c>
      <c r="F84">
        <f t="shared" si="4"/>
        <v>0</v>
      </c>
    </row>
    <row r="85" spans="1:6" x14ac:dyDescent="0.25">
      <c r="A85">
        <f t="shared" si="3"/>
        <v>84</v>
      </c>
      <c r="C85">
        <v>0</v>
      </c>
      <c r="D85">
        <f>C85+'Decision Support'!$H$29</f>
        <v>7000</v>
      </c>
      <c r="E85">
        <f>C85-'Decision Support'!$H$29</f>
        <v>-7000</v>
      </c>
      <c r="F85">
        <f t="shared" si="4"/>
        <v>0</v>
      </c>
    </row>
    <row r="86" spans="1:6" x14ac:dyDescent="0.25">
      <c r="A86">
        <f t="shared" si="3"/>
        <v>85</v>
      </c>
      <c r="C86">
        <v>0</v>
      </c>
      <c r="D86">
        <f>C86+'Decision Support'!$H$29</f>
        <v>7000</v>
      </c>
      <c r="E86">
        <f>C86-'Decision Support'!$H$29</f>
        <v>-7000</v>
      </c>
      <c r="F86">
        <f t="shared" si="4"/>
        <v>0</v>
      </c>
    </row>
    <row r="87" spans="1:6" x14ac:dyDescent="0.25">
      <c r="A87">
        <f t="shared" si="3"/>
        <v>86</v>
      </c>
      <c r="C87">
        <v>0</v>
      </c>
      <c r="D87">
        <f>C87+'Decision Support'!$H$29</f>
        <v>7000</v>
      </c>
      <c r="E87">
        <f>C87-'Decision Support'!$H$29</f>
        <v>-7000</v>
      </c>
      <c r="F87">
        <f t="shared" si="4"/>
        <v>0</v>
      </c>
    </row>
    <row r="88" spans="1:6" x14ac:dyDescent="0.25">
      <c r="A88">
        <f t="shared" si="3"/>
        <v>87</v>
      </c>
      <c r="C88">
        <v>0</v>
      </c>
      <c r="D88">
        <f>C88+'Decision Support'!$H$29</f>
        <v>7000</v>
      </c>
      <c r="E88">
        <f>C88-'Decision Support'!$H$29</f>
        <v>-7000</v>
      </c>
      <c r="F88">
        <f t="shared" si="4"/>
        <v>0</v>
      </c>
    </row>
    <row r="89" spans="1:6" x14ac:dyDescent="0.25">
      <c r="A89">
        <f t="shared" si="3"/>
        <v>88</v>
      </c>
      <c r="C89">
        <v>0</v>
      </c>
      <c r="D89">
        <f>C89+'Decision Support'!$H$29</f>
        <v>7000</v>
      </c>
      <c r="E89">
        <f>C89-'Decision Support'!$H$29</f>
        <v>-7000</v>
      </c>
      <c r="F89">
        <f t="shared" si="4"/>
        <v>0</v>
      </c>
    </row>
    <row r="90" spans="1:6" x14ac:dyDescent="0.25">
      <c r="A90">
        <f t="shared" si="3"/>
        <v>89</v>
      </c>
      <c r="C90">
        <v>0</v>
      </c>
      <c r="D90">
        <f>C90+'Decision Support'!$H$29</f>
        <v>7000</v>
      </c>
      <c r="E90">
        <f>C90-'Decision Support'!$H$29</f>
        <v>-7000</v>
      </c>
      <c r="F90">
        <f t="shared" si="4"/>
        <v>0</v>
      </c>
    </row>
    <row r="91" spans="1:6" x14ac:dyDescent="0.25">
      <c r="A91">
        <f t="shared" si="3"/>
        <v>90</v>
      </c>
      <c r="C91">
        <v>0</v>
      </c>
      <c r="D91">
        <f>C91+'Decision Support'!$H$29</f>
        <v>7000</v>
      </c>
      <c r="E91">
        <f>C91-'Decision Support'!$H$29</f>
        <v>-7000</v>
      </c>
      <c r="F91">
        <f t="shared" si="4"/>
        <v>0</v>
      </c>
    </row>
    <row r="92" spans="1:6" x14ac:dyDescent="0.25">
      <c r="A92">
        <f t="shared" si="3"/>
        <v>91</v>
      </c>
      <c r="C92">
        <v>0</v>
      </c>
      <c r="D92">
        <f>C92+'Decision Support'!$H$29</f>
        <v>7000</v>
      </c>
      <c r="E92">
        <f>C92-'Decision Support'!$H$29</f>
        <v>-7000</v>
      </c>
      <c r="F92">
        <f t="shared" si="4"/>
        <v>0</v>
      </c>
    </row>
    <row r="93" spans="1:6" x14ac:dyDescent="0.25">
      <c r="A93">
        <f t="shared" si="3"/>
        <v>92</v>
      </c>
      <c r="C93">
        <v>0</v>
      </c>
      <c r="D93">
        <f>C93+'Decision Support'!$H$29</f>
        <v>7000</v>
      </c>
      <c r="E93">
        <f>C93-'Decision Support'!$H$29</f>
        <v>-7000</v>
      </c>
      <c r="F93">
        <f t="shared" si="4"/>
        <v>0</v>
      </c>
    </row>
    <row r="94" spans="1:6" x14ac:dyDescent="0.25">
      <c r="A94">
        <f t="shared" si="3"/>
        <v>93</v>
      </c>
      <c r="C94">
        <v>0</v>
      </c>
      <c r="D94">
        <f>C94+'Decision Support'!$H$29</f>
        <v>7000</v>
      </c>
      <c r="E94">
        <f>C94-'Decision Support'!$H$29</f>
        <v>-7000</v>
      </c>
      <c r="F94">
        <f t="shared" si="4"/>
        <v>0</v>
      </c>
    </row>
    <row r="95" spans="1:6" x14ac:dyDescent="0.25">
      <c r="A95">
        <f t="shared" si="3"/>
        <v>94</v>
      </c>
      <c r="C95">
        <v>0</v>
      </c>
      <c r="D95">
        <f>C95+'Decision Support'!$H$29</f>
        <v>7000</v>
      </c>
      <c r="E95">
        <f>C95-'Decision Support'!$H$29</f>
        <v>-7000</v>
      </c>
      <c r="F95">
        <f t="shared" si="4"/>
        <v>0</v>
      </c>
    </row>
    <row r="96" spans="1:6" x14ac:dyDescent="0.25">
      <c r="A96">
        <f t="shared" si="3"/>
        <v>95</v>
      </c>
      <c r="C96">
        <v>0</v>
      </c>
      <c r="D96">
        <f>C96+'Decision Support'!$H$29</f>
        <v>7000</v>
      </c>
      <c r="E96">
        <f>C96-'Decision Support'!$H$29</f>
        <v>-7000</v>
      </c>
      <c r="F96">
        <f t="shared" si="4"/>
        <v>0</v>
      </c>
    </row>
    <row r="97" spans="1:6" x14ac:dyDescent="0.25">
      <c r="A97">
        <f t="shared" si="3"/>
        <v>96</v>
      </c>
      <c r="C97">
        <v>0</v>
      </c>
      <c r="D97">
        <f>C97+'Decision Support'!$H$29</f>
        <v>7000</v>
      </c>
      <c r="E97">
        <f>C97-'Decision Support'!$H$29</f>
        <v>-7000</v>
      </c>
      <c r="F97">
        <f t="shared" si="4"/>
        <v>0</v>
      </c>
    </row>
    <row r="98" spans="1:6" x14ac:dyDescent="0.25">
      <c r="A98">
        <f t="shared" si="3"/>
        <v>97</v>
      </c>
      <c r="C98">
        <v>0</v>
      </c>
      <c r="D98">
        <f>C98+'Decision Support'!$H$29</f>
        <v>7000</v>
      </c>
      <c r="E98">
        <f>C98-'Decision Support'!$H$29</f>
        <v>-7000</v>
      </c>
      <c r="F98">
        <f t="shared" si="4"/>
        <v>0</v>
      </c>
    </row>
    <row r="99" spans="1:6" x14ac:dyDescent="0.25">
      <c r="A99">
        <f t="shared" si="3"/>
        <v>98</v>
      </c>
      <c r="C99">
        <v>0</v>
      </c>
      <c r="D99">
        <f>C99+'Decision Support'!$H$29</f>
        <v>7000</v>
      </c>
      <c r="E99">
        <f>C99-'Decision Support'!$H$29</f>
        <v>-7000</v>
      </c>
      <c r="F99">
        <f t="shared" si="4"/>
        <v>0</v>
      </c>
    </row>
    <row r="100" spans="1:6" x14ac:dyDescent="0.25">
      <c r="A100">
        <f t="shared" si="3"/>
        <v>99</v>
      </c>
      <c r="C100">
        <v>0</v>
      </c>
      <c r="D100">
        <f>C100+'Decision Support'!$H$29</f>
        <v>7000</v>
      </c>
      <c r="E100">
        <f>C100-'Decision Support'!$H$29</f>
        <v>-7000</v>
      </c>
      <c r="F100">
        <f t="shared" si="4"/>
        <v>0</v>
      </c>
    </row>
    <row r="101" spans="1:6" x14ac:dyDescent="0.25">
      <c r="A101">
        <f t="shared" si="3"/>
        <v>100</v>
      </c>
      <c r="C101">
        <v>0</v>
      </c>
      <c r="D101">
        <f>C101+'Decision Support'!$H$29</f>
        <v>7000</v>
      </c>
      <c r="E101">
        <f>C101-'Decision Support'!$H$29</f>
        <v>-7000</v>
      </c>
      <c r="F101">
        <f t="shared" si="4"/>
        <v>0</v>
      </c>
    </row>
    <row r="102" spans="1:6" x14ac:dyDescent="0.25">
      <c r="A102">
        <f t="shared" si="3"/>
        <v>101</v>
      </c>
      <c r="C102">
        <v>0</v>
      </c>
      <c r="D102">
        <f>C102+'Decision Support'!$H$29</f>
        <v>7000</v>
      </c>
      <c r="E102">
        <f>C102-'Decision Support'!$H$29</f>
        <v>-7000</v>
      </c>
      <c r="F102">
        <f t="shared" si="4"/>
        <v>0</v>
      </c>
    </row>
    <row r="103" spans="1:6" x14ac:dyDescent="0.25">
      <c r="A103">
        <f t="shared" si="3"/>
        <v>102</v>
      </c>
      <c r="C103">
        <v>0</v>
      </c>
      <c r="D103">
        <f>C103+'Decision Support'!$H$29</f>
        <v>7000</v>
      </c>
      <c r="E103">
        <f>C103-'Decision Support'!$H$29</f>
        <v>-7000</v>
      </c>
      <c r="F103">
        <f t="shared" si="4"/>
        <v>0</v>
      </c>
    </row>
    <row r="104" spans="1:6" x14ac:dyDescent="0.25">
      <c r="A104">
        <f t="shared" si="3"/>
        <v>103</v>
      </c>
      <c r="C104">
        <v>0</v>
      </c>
      <c r="D104">
        <f>C104+'Decision Support'!$H$29</f>
        <v>7000</v>
      </c>
      <c r="E104">
        <f>C104-'Decision Support'!$H$29</f>
        <v>-7000</v>
      </c>
      <c r="F104">
        <f t="shared" si="4"/>
        <v>0</v>
      </c>
    </row>
    <row r="105" spans="1:6" x14ac:dyDescent="0.25">
      <c r="A105">
        <f t="shared" si="3"/>
        <v>104</v>
      </c>
      <c r="C105">
        <v>0</v>
      </c>
      <c r="D105">
        <f>C105+'Decision Support'!$H$29</f>
        <v>7000</v>
      </c>
      <c r="E105">
        <f>C105-'Decision Support'!$H$29</f>
        <v>-7000</v>
      </c>
      <c r="F105">
        <f t="shared" si="4"/>
        <v>0</v>
      </c>
    </row>
    <row r="106" spans="1:6" x14ac:dyDescent="0.25">
      <c r="A106">
        <f t="shared" si="3"/>
        <v>105</v>
      </c>
      <c r="C106">
        <v>0</v>
      </c>
      <c r="D106">
        <f>C106+'Decision Support'!$H$29</f>
        <v>7000</v>
      </c>
      <c r="E106">
        <f>C106-'Decision Support'!$H$29</f>
        <v>-7000</v>
      </c>
      <c r="F106">
        <f t="shared" si="4"/>
        <v>0</v>
      </c>
    </row>
    <row r="107" spans="1:6" x14ac:dyDescent="0.25">
      <c r="A107">
        <f t="shared" si="3"/>
        <v>106</v>
      </c>
      <c r="C107">
        <v>0</v>
      </c>
      <c r="D107">
        <f>C107+'Decision Support'!$H$29</f>
        <v>7000</v>
      </c>
      <c r="E107">
        <f>C107-'Decision Support'!$H$29</f>
        <v>-7000</v>
      </c>
      <c r="F107">
        <f t="shared" si="4"/>
        <v>0</v>
      </c>
    </row>
    <row r="108" spans="1:6" x14ac:dyDescent="0.25">
      <c r="A108">
        <f t="shared" si="3"/>
        <v>107</v>
      </c>
      <c r="C108">
        <v>0</v>
      </c>
      <c r="D108">
        <f>C108+'Decision Support'!$H$29</f>
        <v>7000</v>
      </c>
      <c r="E108">
        <f>C108-'Decision Support'!$H$29</f>
        <v>-7000</v>
      </c>
      <c r="F108">
        <f t="shared" si="4"/>
        <v>0</v>
      </c>
    </row>
    <row r="109" spans="1:6" x14ac:dyDescent="0.25">
      <c r="A109">
        <f t="shared" si="3"/>
        <v>108</v>
      </c>
      <c r="C109">
        <v>0</v>
      </c>
      <c r="D109">
        <f>C109+'Decision Support'!$H$29</f>
        <v>7000</v>
      </c>
      <c r="E109">
        <f>C109-'Decision Support'!$H$29</f>
        <v>-7000</v>
      </c>
      <c r="F109">
        <f t="shared" si="4"/>
        <v>0</v>
      </c>
    </row>
    <row r="110" spans="1:6" x14ac:dyDescent="0.25">
      <c r="A110">
        <f t="shared" si="3"/>
        <v>109</v>
      </c>
      <c r="C110">
        <v>0</v>
      </c>
      <c r="D110">
        <f>C110+'Decision Support'!$H$29</f>
        <v>7000</v>
      </c>
      <c r="E110">
        <f>C110-'Decision Support'!$H$29</f>
        <v>-7000</v>
      </c>
      <c r="F110">
        <f t="shared" si="4"/>
        <v>0</v>
      </c>
    </row>
    <row r="111" spans="1:6" x14ac:dyDescent="0.25">
      <c r="A111">
        <f t="shared" si="3"/>
        <v>110</v>
      </c>
      <c r="C111">
        <v>0</v>
      </c>
      <c r="D111">
        <f>C111+'Decision Support'!$H$29</f>
        <v>7000</v>
      </c>
      <c r="E111">
        <f>C111-'Decision Support'!$H$29</f>
        <v>-7000</v>
      </c>
      <c r="F111">
        <f t="shared" si="4"/>
        <v>0</v>
      </c>
    </row>
    <row r="112" spans="1:6" x14ac:dyDescent="0.25">
      <c r="A112">
        <f t="shared" si="3"/>
        <v>111</v>
      </c>
      <c r="C112">
        <v>0</v>
      </c>
      <c r="D112">
        <f>C112+'Decision Support'!$H$29</f>
        <v>7000</v>
      </c>
      <c r="E112">
        <f>C112-'Decision Support'!$H$29</f>
        <v>-7000</v>
      </c>
      <c r="F112">
        <f t="shared" si="4"/>
        <v>0</v>
      </c>
    </row>
    <row r="113" spans="1:6" x14ac:dyDescent="0.25">
      <c r="A113">
        <f t="shared" si="3"/>
        <v>112</v>
      </c>
      <c r="C113">
        <v>0</v>
      </c>
      <c r="D113">
        <f>C113+'Decision Support'!$H$29</f>
        <v>7000</v>
      </c>
      <c r="E113">
        <f>C113-'Decision Support'!$H$29</f>
        <v>-7000</v>
      </c>
      <c r="F113">
        <f t="shared" si="4"/>
        <v>0</v>
      </c>
    </row>
    <row r="114" spans="1:6" x14ac:dyDescent="0.25">
      <c r="A114">
        <f t="shared" si="3"/>
        <v>113</v>
      </c>
      <c r="C114">
        <v>0</v>
      </c>
      <c r="D114">
        <f>C114+'Decision Support'!$H$29</f>
        <v>7000</v>
      </c>
      <c r="E114">
        <f>C114-'Decision Support'!$H$29</f>
        <v>-7000</v>
      </c>
      <c r="F114">
        <f t="shared" si="4"/>
        <v>0</v>
      </c>
    </row>
    <row r="115" spans="1:6" x14ac:dyDescent="0.25">
      <c r="A115">
        <f t="shared" si="3"/>
        <v>114</v>
      </c>
      <c r="C115">
        <v>0</v>
      </c>
      <c r="D115">
        <f>C115+'Decision Support'!$H$29</f>
        <v>7000</v>
      </c>
      <c r="E115">
        <f>C115-'Decision Support'!$H$29</f>
        <v>-7000</v>
      </c>
      <c r="F115">
        <f t="shared" si="4"/>
        <v>0</v>
      </c>
    </row>
    <row r="116" spans="1:6" x14ac:dyDescent="0.25">
      <c r="A116">
        <f t="shared" si="3"/>
        <v>115</v>
      </c>
      <c r="C116">
        <v>0</v>
      </c>
      <c r="D116">
        <f>C116+'Decision Support'!$H$29</f>
        <v>7000</v>
      </c>
      <c r="E116">
        <f>C116-'Decision Support'!$H$29</f>
        <v>-7000</v>
      </c>
      <c r="F116">
        <f t="shared" si="4"/>
        <v>0</v>
      </c>
    </row>
    <row r="117" spans="1:6" x14ac:dyDescent="0.25">
      <c r="A117">
        <f t="shared" si="3"/>
        <v>116</v>
      </c>
      <c r="C117">
        <v>0</v>
      </c>
      <c r="D117">
        <f>C117+'Decision Support'!$H$29</f>
        <v>7000</v>
      </c>
      <c r="E117">
        <f>C117-'Decision Support'!$H$29</f>
        <v>-7000</v>
      </c>
      <c r="F117">
        <f t="shared" si="4"/>
        <v>0</v>
      </c>
    </row>
    <row r="118" spans="1:6" x14ac:dyDescent="0.25">
      <c r="A118">
        <f t="shared" si="3"/>
        <v>117</v>
      </c>
      <c r="C118">
        <v>0</v>
      </c>
      <c r="D118">
        <f>C118+'Decision Support'!$H$29</f>
        <v>7000</v>
      </c>
      <c r="E118">
        <f>C118-'Decision Support'!$H$29</f>
        <v>-7000</v>
      </c>
      <c r="F118">
        <f t="shared" si="4"/>
        <v>0</v>
      </c>
    </row>
    <row r="119" spans="1:6" x14ac:dyDescent="0.25">
      <c r="A119">
        <f t="shared" si="3"/>
        <v>118</v>
      </c>
      <c r="C119">
        <v>0</v>
      </c>
      <c r="D119">
        <f>C119+'Decision Support'!$H$29</f>
        <v>7000</v>
      </c>
      <c r="E119">
        <f>C119-'Decision Support'!$H$29</f>
        <v>-7000</v>
      </c>
      <c r="F119">
        <f t="shared" si="4"/>
        <v>0</v>
      </c>
    </row>
    <row r="120" spans="1:6" x14ac:dyDescent="0.25">
      <c r="A120">
        <f t="shared" si="3"/>
        <v>119</v>
      </c>
      <c r="C120">
        <v>0</v>
      </c>
      <c r="D120">
        <f>C120+'Decision Support'!$H$29</f>
        <v>7000</v>
      </c>
      <c r="E120">
        <f>C120-'Decision Support'!$H$29</f>
        <v>-7000</v>
      </c>
      <c r="F120">
        <f t="shared" si="4"/>
        <v>0</v>
      </c>
    </row>
    <row r="121" spans="1:6" x14ac:dyDescent="0.25">
      <c r="A121">
        <f t="shared" si="3"/>
        <v>120</v>
      </c>
      <c r="C121">
        <v>0</v>
      </c>
      <c r="D121">
        <f>C121+'Decision Support'!$H$29</f>
        <v>7000</v>
      </c>
      <c r="E121">
        <f>C121-'Decision Support'!$H$29</f>
        <v>-7000</v>
      </c>
      <c r="F121">
        <f t="shared" si="4"/>
        <v>0</v>
      </c>
    </row>
    <row r="122" spans="1:6" x14ac:dyDescent="0.25">
      <c r="A122">
        <f t="shared" si="3"/>
        <v>121</v>
      </c>
      <c r="C122">
        <v>0</v>
      </c>
      <c r="D122">
        <f>C122+'Decision Support'!$H$29</f>
        <v>7000</v>
      </c>
      <c r="E122">
        <f>C122-'Decision Support'!$H$29</f>
        <v>-7000</v>
      </c>
      <c r="F122">
        <f t="shared" si="4"/>
        <v>0</v>
      </c>
    </row>
    <row r="123" spans="1:6" x14ac:dyDescent="0.25">
      <c r="A123">
        <f t="shared" si="3"/>
        <v>122</v>
      </c>
      <c r="C123">
        <v>0</v>
      </c>
      <c r="D123">
        <f>C123+'Decision Support'!$H$29</f>
        <v>7000</v>
      </c>
      <c r="E123">
        <f>C123-'Decision Support'!$H$29</f>
        <v>-7000</v>
      </c>
      <c r="F123">
        <f t="shared" si="4"/>
        <v>0</v>
      </c>
    </row>
    <row r="124" spans="1:6" x14ac:dyDescent="0.25">
      <c r="A124">
        <f t="shared" si="3"/>
        <v>123</v>
      </c>
      <c r="C124">
        <v>0</v>
      </c>
      <c r="D124">
        <f>C124+'Decision Support'!$H$29</f>
        <v>7000</v>
      </c>
      <c r="E124">
        <f>C124-'Decision Support'!$H$29</f>
        <v>-7000</v>
      </c>
      <c r="F124">
        <f t="shared" si="4"/>
        <v>0</v>
      </c>
    </row>
    <row r="125" spans="1:6" x14ac:dyDescent="0.25">
      <c r="A125">
        <f t="shared" si="3"/>
        <v>124</v>
      </c>
      <c r="C125">
        <v>0</v>
      </c>
      <c r="D125">
        <f>C125+'Decision Support'!$H$29</f>
        <v>7000</v>
      </c>
      <c r="E125">
        <f>C125-'Decision Support'!$H$29</f>
        <v>-7000</v>
      </c>
      <c r="F125">
        <f t="shared" si="4"/>
        <v>0</v>
      </c>
    </row>
    <row r="126" spans="1:6" x14ac:dyDescent="0.25">
      <c r="A126">
        <f t="shared" si="3"/>
        <v>125</v>
      </c>
      <c r="C126">
        <v>0</v>
      </c>
      <c r="D126">
        <f>C126+'Decision Support'!$H$29</f>
        <v>7000</v>
      </c>
      <c r="E126">
        <f>C126-'Decision Support'!$H$29</f>
        <v>-7000</v>
      </c>
      <c r="F126">
        <f t="shared" si="4"/>
        <v>0</v>
      </c>
    </row>
    <row r="127" spans="1:6" x14ac:dyDescent="0.25">
      <c r="A127">
        <f t="shared" si="3"/>
        <v>126</v>
      </c>
      <c r="C127">
        <v>0</v>
      </c>
      <c r="D127">
        <f>C127+'Decision Support'!$H$29</f>
        <v>7000</v>
      </c>
      <c r="E127">
        <f>C127-'Decision Support'!$H$29</f>
        <v>-7000</v>
      </c>
      <c r="F127">
        <f t="shared" si="4"/>
        <v>0</v>
      </c>
    </row>
    <row r="128" spans="1:6" x14ac:dyDescent="0.25">
      <c r="A128">
        <f t="shared" si="3"/>
        <v>127</v>
      </c>
      <c r="C128">
        <v>0</v>
      </c>
      <c r="D128">
        <f>C128+'Decision Support'!$H$29</f>
        <v>7000</v>
      </c>
      <c r="E128">
        <f>C128-'Decision Support'!$H$29</f>
        <v>-7000</v>
      </c>
      <c r="F128">
        <f t="shared" si="4"/>
        <v>0</v>
      </c>
    </row>
    <row r="129" spans="1:6" x14ac:dyDescent="0.25">
      <c r="A129">
        <f t="shared" si="3"/>
        <v>128</v>
      </c>
      <c r="C129">
        <v>0</v>
      </c>
      <c r="D129">
        <f>C129+'Decision Support'!$H$29</f>
        <v>7000</v>
      </c>
      <c r="E129">
        <f>C129-'Decision Support'!$H$29</f>
        <v>-7000</v>
      </c>
      <c r="F129">
        <f t="shared" si="4"/>
        <v>0</v>
      </c>
    </row>
    <row r="130" spans="1:6" x14ac:dyDescent="0.25">
      <c r="A130">
        <f t="shared" si="3"/>
        <v>129</v>
      </c>
      <c r="C130">
        <v>0</v>
      </c>
      <c r="D130">
        <f>C130+'Decision Support'!$H$29</f>
        <v>7000</v>
      </c>
      <c r="E130">
        <f>C130-'Decision Support'!$H$29</f>
        <v>-7000</v>
      </c>
      <c r="F130">
        <f t="shared" si="4"/>
        <v>0</v>
      </c>
    </row>
    <row r="131" spans="1:6" x14ac:dyDescent="0.25">
      <c r="A131">
        <f t="shared" ref="A131:A194" si="5">A130+1</f>
        <v>130</v>
      </c>
      <c r="C131">
        <v>0</v>
      </c>
      <c r="D131">
        <f>C131+'Decision Support'!$H$29</f>
        <v>7000</v>
      </c>
      <c r="E131">
        <f>C131-'Decision Support'!$H$29</f>
        <v>-7000</v>
      </c>
      <c r="F131">
        <f t="shared" si="4"/>
        <v>0</v>
      </c>
    </row>
    <row r="132" spans="1:6" x14ac:dyDescent="0.25">
      <c r="A132">
        <f t="shared" si="5"/>
        <v>131</v>
      </c>
      <c r="C132">
        <v>0</v>
      </c>
      <c r="D132">
        <f>C132+'Decision Support'!$H$29</f>
        <v>7000</v>
      </c>
      <c r="E132">
        <f>C132-'Decision Support'!$H$29</f>
        <v>-7000</v>
      </c>
      <c r="F132">
        <f t="shared" si="4"/>
        <v>0</v>
      </c>
    </row>
    <row r="133" spans="1:6" x14ac:dyDescent="0.25">
      <c r="A133">
        <f t="shared" si="5"/>
        <v>132</v>
      </c>
      <c r="C133">
        <v>0</v>
      </c>
      <c r="D133">
        <f>C133+'Decision Support'!$H$29</f>
        <v>7000</v>
      </c>
      <c r="E133">
        <f>C133-'Decision Support'!$H$29</f>
        <v>-7000</v>
      </c>
      <c r="F133">
        <f t="shared" si="4"/>
        <v>0</v>
      </c>
    </row>
    <row r="134" spans="1:6" x14ac:dyDescent="0.25">
      <c r="A134">
        <f t="shared" si="5"/>
        <v>133</v>
      </c>
      <c r="C134">
        <v>0</v>
      </c>
      <c r="D134">
        <f>C134+'Decision Support'!$H$29</f>
        <v>7000</v>
      </c>
      <c r="E134">
        <f>C134-'Decision Support'!$H$29</f>
        <v>-7000</v>
      </c>
      <c r="F134">
        <f t="shared" ref="F134:F197" si="6">IF(ABS(B134)&gt;7000,(ABS(B134)-7000)*$I$7,)</f>
        <v>0</v>
      </c>
    </row>
    <row r="135" spans="1:6" x14ac:dyDescent="0.25">
      <c r="A135">
        <f t="shared" si="5"/>
        <v>134</v>
      </c>
      <c r="C135">
        <v>0</v>
      </c>
      <c r="D135">
        <f>C135+'Decision Support'!$H$29</f>
        <v>7000</v>
      </c>
      <c r="E135">
        <f>C135-'Decision Support'!$H$29</f>
        <v>-7000</v>
      </c>
      <c r="F135">
        <f t="shared" si="6"/>
        <v>0</v>
      </c>
    </row>
    <row r="136" spans="1:6" x14ac:dyDescent="0.25">
      <c r="A136">
        <f t="shared" si="5"/>
        <v>135</v>
      </c>
      <c r="C136">
        <v>0</v>
      </c>
      <c r="D136">
        <f>C136+'Decision Support'!$H$29</f>
        <v>7000</v>
      </c>
      <c r="E136">
        <f>C136-'Decision Support'!$H$29</f>
        <v>-7000</v>
      </c>
      <c r="F136">
        <f t="shared" si="6"/>
        <v>0</v>
      </c>
    </row>
    <row r="137" spans="1:6" x14ac:dyDescent="0.25">
      <c r="A137">
        <f t="shared" si="5"/>
        <v>136</v>
      </c>
      <c r="C137">
        <v>0</v>
      </c>
      <c r="D137">
        <f>C137+'Decision Support'!$H$29</f>
        <v>7000</v>
      </c>
      <c r="E137">
        <f>C137-'Decision Support'!$H$29</f>
        <v>-7000</v>
      </c>
      <c r="F137">
        <f t="shared" si="6"/>
        <v>0</v>
      </c>
    </row>
    <row r="138" spans="1:6" x14ac:dyDescent="0.25">
      <c r="A138">
        <f t="shared" si="5"/>
        <v>137</v>
      </c>
      <c r="C138">
        <v>0</v>
      </c>
      <c r="D138">
        <f>C138+'Decision Support'!$H$29</f>
        <v>7000</v>
      </c>
      <c r="E138">
        <f>C138-'Decision Support'!$H$29</f>
        <v>-7000</v>
      </c>
      <c r="F138">
        <f t="shared" si="6"/>
        <v>0</v>
      </c>
    </row>
    <row r="139" spans="1:6" x14ac:dyDescent="0.25">
      <c r="A139">
        <f t="shared" si="5"/>
        <v>138</v>
      </c>
      <c r="C139">
        <v>0</v>
      </c>
      <c r="D139">
        <f>C139+'Decision Support'!$H$29</f>
        <v>7000</v>
      </c>
      <c r="E139">
        <f>C139-'Decision Support'!$H$29</f>
        <v>-7000</v>
      </c>
      <c r="F139">
        <f t="shared" si="6"/>
        <v>0</v>
      </c>
    </row>
    <row r="140" spans="1:6" x14ac:dyDescent="0.25">
      <c r="A140">
        <f t="shared" si="5"/>
        <v>139</v>
      </c>
      <c r="C140">
        <v>0</v>
      </c>
      <c r="D140">
        <f>C140+'Decision Support'!$H$29</f>
        <v>7000</v>
      </c>
      <c r="E140">
        <f>C140-'Decision Support'!$H$29</f>
        <v>-7000</v>
      </c>
      <c r="F140">
        <f t="shared" si="6"/>
        <v>0</v>
      </c>
    </row>
    <row r="141" spans="1:6" x14ac:dyDescent="0.25">
      <c r="A141">
        <f t="shared" si="5"/>
        <v>140</v>
      </c>
      <c r="C141">
        <v>0</v>
      </c>
      <c r="D141">
        <f>C141+'Decision Support'!$H$29</f>
        <v>7000</v>
      </c>
      <c r="E141">
        <f>C141-'Decision Support'!$H$29</f>
        <v>-7000</v>
      </c>
      <c r="F141">
        <f t="shared" si="6"/>
        <v>0</v>
      </c>
    </row>
    <row r="142" spans="1:6" x14ac:dyDescent="0.25">
      <c r="A142">
        <f t="shared" si="5"/>
        <v>141</v>
      </c>
      <c r="C142">
        <v>0</v>
      </c>
      <c r="D142">
        <f>C142+'Decision Support'!$H$29</f>
        <v>7000</v>
      </c>
      <c r="E142">
        <f>C142-'Decision Support'!$H$29</f>
        <v>-7000</v>
      </c>
      <c r="F142">
        <f t="shared" si="6"/>
        <v>0</v>
      </c>
    </row>
    <row r="143" spans="1:6" x14ac:dyDescent="0.25">
      <c r="A143">
        <f t="shared" si="5"/>
        <v>142</v>
      </c>
      <c r="C143">
        <v>0</v>
      </c>
      <c r="D143">
        <f>C143+'Decision Support'!$H$29</f>
        <v>7000</v>
      </c>
      <c r="E143">
        <f>C143-'Decision Support'!$H$29</f>
        <v>-7000</v>
      </c>
      <c r="F143">
        <f t="shared" si="6"/>
        <v>0</v>
      </c>
    </row>
    <row r="144" spans="1:6" x14ac:dyDescent="0.25">
      <c r="A144">
        <f t="shared" si="5"/>
        <v>143</v>
      </c>
      <c r="C144">
        <v>0</v>
      </c>
      <c r="D144">
        <f>C144+'Decision Support'!$H$29</f>
        <v>7000</v>
      </c>
      <c r="E144">
        <f>C144-'Decision Support'!$H$29</f>
        <v>-7000</v>
      </c>
      <c r="F144">
        <f t="shared" si="6"/>
        <v>0</v>
      </c>
    </row>
    <row r="145" spans="1:6" x14ac:dyDescent="0.25">
      <c r="A145">
        <f t="shared" si="5"/>
        <v>144</v>
      </c>
      <c r="C145">
        <v>0</v>
      </c>
      <c r="D145">
        <f>C145+'Decision Support'!$H$29</f>
        <v>7000</v>
      </c>
      <c r="E145">
        <f>C145-'Decision Support'!$H$29</f>
        <v>-7000</v>
      </c>
      <c r="F145">
        <f t="shared" si="6"/>
        <v>0</v>
      </c>
    </row>
    <row r="146" spans="1:6" x14ac:dyDescent="0.25">
      <c r="A146">
        <f t="shared" si="5"/>
        <v>145</v>
      </c>
      <c r="C146">
        <v>0</v>
      </c>
      <c r="D146">
        <f>C146+'Decision Support'!$H$29</f>
        <v>7000</v>
      </c>
      <c r="E146">
        <f>C146-'Decision Support'!$H$29</f>
        <v>-7000</v>
      </c>
      <c r="F146">
        <f t="shared" si="6"/>
        <v>0</v>
      </c>
    </row>
    <row r="147" spans="1:6" x14ac:dyDescent="0.25">
      <c r="A147">
        <f t="shared" si="5"/>
        <v>146</v>
      </c>
      <c r="C147">
        <v>0</v>
      </c>
      <c r="D147">
        <f>C147+'Decision Support'!$H$29</f>
        <v>7000</v>
      </c>
      <c r="E147">
        <f>C147-'Decision Support'!$H$29</f>
        <v>-7000</v>
      </c>
      <c r="F147">
        <f t="shared" si="6"/>
        <v>0</v>
      </c>
    </row>
    <row r="148" spans="1:6" x14ac:dyDescent="0.25">
      <c r="A148">
        <f t="shared" si="5"/>
        <v>147</v>
      </c>
      <c r="C148">
        <v>0</v>
      </c>
      <c r="D148">
        <f>C148+'Decision Support'!$H$29</f>
        <v>7000</v>
      </c>
      <c r="E148">
        <f>C148-'Decision Support'!$H$29</f>
        <v>-7000</v>
      </c>
      <c r="F148">
        <f t="shared" si="6"/>
        <v>0</v>
      </c>
    </row>
    <row r="149" spans="1:6" x14ac:dyDescent="0.25">
      <c r="A149">
        <f t="shared" si="5"/>
        <v>148</v>
      </c>
      <c r="C149">
        <v>0</v>
      </c>
      <c r="D149">
        <f>C149+'Decision Support'!$H$29</f>
        <v>7000</v>
      </c>
      <c r="E149">
        <f>C149-'Decision Support'!$H$29</f>
        <v>-7000</v>
      </c>
      <c r="F149">
        <f t="shared" si="6"/>
        <v>0</v>
      </c>
    </row>
    <row r="150" spans="1:6" x14ac:dyDescent="0.25">
      <c r="A150">
        <f t="shared" si="5"/>
        <v>149</v>
      </c>
      <c r="C150">
        <v>0</v>
      </c>
      <c r="D150">
        <f>C150+'Decision Support'!$H$29</f>
        <v>7000</v>
      </c>
      <c r="E150">
        <f>C150-'Decision Support'!$H$29</f>
        <v>-7000</v>
      </c>
      <c r="F150">
        <f t="shared" si="6"/>
        <v>0</v>
      </c>
    </row>
    <row r="151" spans="1:6" x14ac:dyDescent="0.25">
      <c r="A151">
        <f t="shared" si="5"/>
        <v>150</v>
      </c>
      <c r="C151">
        <v>0</v>
      </c>
      <c r="D151">
        <f>C151+'Decision Support'!$H$29</f>
        <v>7000</v>
      </c>
      <c r="E151">
        <f>C151-'Decision Support'!$H$29</f>
        <v>-7000</v>
      </c>
      <c r="F151">
        <f t="shared" si="6"/>
        <v>0</v>
      </c>
    </row>
    <row r="152" spans="1:6" x14ac:dyDescent="0.25">
      <c r="A152">
        <f t="shared" si="5"/>
        <v>151</v>
      </c>
      <c r="C152">
        <v>0</v>
      </c>
      <c r="D152">
        <f>C152+'Decision Support'!$H$29</f>
        <v>7000</v>
      </c>
      <c r="E152">
        <f>C152-'Decision Support'!$H$29</f>
        <v>-7000</v>
      </c>
      <c r="F152">
        <f t="shared" si="6"/>
        <v>0</v>
      </c>
    </row>
    <row r="153" spans="1:6" x14ac:dyDescent="0.25">
      <c r="A153">
        <f t="shared" si="5"/>
        <v>152</v>
      </c>
      <c r="C153">
        <v>0</v>
      </c>
      <c r="D153">
        <f>C153+'Decision Support'!$H$29</f>
        <v>7000</v>
      </c>
      <c r="E153">
        <f>C153-'Decision Support'!$H$29</f>
        <v>-7000</v>
      </c>
      <c r="F153">
        <f t="shared" si="6"/>
        <v>0</v>
      </c>
    </row>
    <row r="154" spans="1:6" x14ac:dyDescent="0.25">
      <c r="A154">
        <f t="shared" si="5"/>
        <v>153</v>
      </c>
      <c r="C154">
        <v>0</v>
      </c>
      <c r="D154">
        <f>C154+'Decision Support'!$H$29</f>
        <v>7000</v>
      </c>
      <c r="E154">
        <f>C154-'Decision Support'!$H$29</f>
        <v>-7000</v>
      </c>
      <c r="F154">
        <f t="shared" si="6"/>
        <v>0</v>
      </c>
    </row>
    <row r="155" spans="1:6" x14ac:dyDescent="0.25">
      <c r="A155">
        <f t="shared" si="5"/>
        <v>154</v>
      </c>
      <c r="C155">
        <v>0</v>
      </c>
      <c r="D155">
        <f>C155+'Decision Support'!$H$29</f>
        <v>7000</v>
      </c>
      <c r="E155">
        <f>C155-'Decision Support'!$H$29</f>
        <v>-7000</v>
      </c>
      <c r="F155">
        <f t="shared" si="6"/>
        <v>0</v>
      </c>
    </row>
    <row r="156" spans="1:6" x14ac:dyDescent="0.25">
      <c r="A156">
        <f t="shared" si="5"/>
        <v>155</v>
      </c>
      <c r="C156">
        <v>0</v>
      </c>
      <c r="D156">
        <f>C156+'Decision Support'!$H$29</f>
        <v>7000</v>
      </c>
      <c r="E156">
        <f>C156-'Decision Support'!$H$29</f>
        <v>-7000</v>
      </c>
      <c r="F156">
        <f t="shared" si="6"/>
        <v>0</v>
      </c>
    </row>
    <row r="157" spans="1:6" x14ac:dyDescent="0.25">
      <c r="A157">
        <f t="shared" si="5"/>
        <v>156</v>
      </c>
      <c r="C157">
        <v>0</v>
      </c>
      <c r="D157">
        <f>C157+'Decision Support'!$H$29</f>
        <v>7000</v>
      </c>
      <c r="E157">
        <f>C157-'Decision Support'!$H$29</f>
        <v>-7000</v>
      </c>
      <c r="F157">
        <f t="shared" si="6"/>
        <v>0</v>
      </c>
    </row>
    <row r="158" spans="1:6" x14ac:dyDescent="0.25">
      <c r="A158">
        <f t="shared" si="5"/>
        <v>157</v>
      </c>
      <c r="C158">
        <v>0</v>
      </c>
      <c r="D158">
        <f>C158+'Decision Support'!$H$29</f>
        <v>7000</v>
      </c>
      <c r="E158">
        <f>C158-'Decision Support'!$H$29</f>
        <v>-7000</v>
      </c>
      <c r="F158">
        <f t="shared" si="6"/>
        <v>0</v>
      </c>
    </row>
    <row r="159" spans="1:6" x14ac:dyDescent="0.25">
      <c r="A159">
        <f t="shared" si="5"/>
        <v>158</v>
      </c>
      <c r="C159">
        <v>0</v>
      </c>
      <c r="D159">
        <f>C159+'Decision Support'!$H$29</f>
        <v>7000</v>
      </c>
      <c r="E159">
        <f>C159-'Decision Support'!$H$29</f>
        <v>-7000</v>
      </c>
      <c r="F159">
        <f t="shared" si="6"/>
        <v>0</v>
      </c>
    </row>
    <row r="160" spans="1:6" x14ac:dyDescent="0.25">
      <c r="A160">
        <f t="shared" si="5"/>
        <v>159</v>
      </c>
      <c r="C160">
        <v>0</v>
      </c>
      <c r="D160">
        <f>C160+'Decision Support'!$H$29</f>
        <v>7000</v>
      </c>
      <c r="E160">
        <f>C160-'Decision Support'!$H$29</f>
        <v>-7000</v>
      </c>
      <c r="F160">
        <f t="shared" si="6"/>
        <v>0</v>
      </c>
    </row>
    <row r="161" spans="1:6" x14ac:dyDescent="0.25">
      <c r="A161">
        <f t="shared" si="5"/>
        <v>160</v>
      </c>
      <c r="C161">
        <v>0</v>
      </c>
      <c r="D161">
        <f>C161+'Decision Support'!$H$29</f>
        <v>7000</v>
      </c>
      <c r="E161">
        <f>C161-'Decision Support'!$H$29</f>
        <v>-7000</v>
      </c>
      <c r="F161">
        <f t="shared" si="6"/>
        <v>0</v>
      </c>
    </row>
    <row r="162" spans="1:6" x14ac:dyDescent="0.25">
      <c r="A162">
        <f t="shared" si="5"/>
        <v>161</v>
      </c>
      <c r="C162">
        <v>0</v>
      </c>
      <c r="D162">
        <f>C162+'Decision Support'!$H$29</f>
        <v>7000</v>
      </c>
      <c r="E162">
        <f>C162-'Decision Support'!$H$29</f>
        <v>-7000</v>
      </c>
      <c r="F162">
        <f t="shared" si="6"/>
        <v>0</v>
      </c>
    </row>
    <row r="163" spans="1:6" x14ac:dyDescent="0.25">
      <c r="A163">
        <f t="shared" si="5"/>
        <v>162</v>
      </c>
      <c r="C163">
        <v>0</v>
      </c>
      <c r="D163">
        <f>C163+'Decision Support'!$H$29</f>
        <v>7000</v>
      </c>
      <c r="E163">
        <f>C163-'Decision Support'!$H$29</f>
        <v>-7000</v>
      </c>
      <c r="F163">
        <f t="shared" si="6"/>
        <v>0</v>
      </c>
    </row>
    <row r="164" spans="1:6" x14ac:dyDescent="0.25">
      <c r="A164">
        <f t="shared" si="5"/>
        <v>163</v>
      </c>
      <c r="C164">
        <v>0</v>
      </c>
      <c r="D164">
        <f>C164+'Decision Support'!$H$29</f>
        <v>7000</v>
      </c>
      <c r="E164">
        <f>C164-'Decision Support'!$H$29</f>
        <v>-7000</v>
      </c>
      <c r="F164">
        <f t="shared" si="6"/>
        <v>0</v>
      </c>
    </row>
    <row r="165" spans="1:6" x14ac:dyDescent="0.25">
      <c r="A165">
        <f t="shared" si="5"/>
        <v>164</v>
      </c>
      <c r="C165">
        <v>0</v>
      </c>
      <c r="D165">
        <f>C165+'Decision Support'!$H$29</f>
        <v>7000</v>
      </c>
      <c r="E165">
        <f>C165-'Decision Support'!$H$29</f>
        <v>-7000</v>
      </c>
      <c r="F165">
        <f t="shared" si="6"/>
        <v>0</v>
      </c>
    </row>
    <row r="166" spans="1:6" x14ac:dyDescent="0.25">
      <c r="A166">
        <f t="shared" si="5"/>
        <v>165</v>
      </c>
      <c r="C166">
        <v>0</v>
      </c>
      <c r="D166">
        <f>C166+'Decision Support'!$H$29</f>
        <v>7000</v>
      </c>
      <c r="E166">
        <f>C166-'Decision Support'!$H$29</f>
        <v>-7000</v>
      </c>
      <c r="F166">
        <f t="shared" si="6"/>
        <v>0</v>
      </c>
    </row>
    <row r="167" spans="1:6" x14ac:dyDescent="0.25">
      <c r="A167">
        <f t="shared" si="5"/>
        <v>166</v>
      </c>
      <c r="C167">
        <v>0</v>
      </c>
      <c r="D167">
        <f>C167+'Decision Support'!$H$29</f>
        <v>7000</v>
      </c>
      <c r="E167">
        <f>C167-'Decision Support'!$H$29</f>
        <v>-7000</v>
      </c>
      <c r="F167">
        <f t="shared" si="6"/>
        <v>0</v>
      </c>
    </row>
    <row r="168" spans="1:6" x14ac:dyDescent="0.25">
      <c r="A168">
        <f t="shared" si="5"/>
        <v>167</v>
      </c>
      <c r="C168">
        <v>0</v>
      </c>
      <c r="D168">
        <f>C168+'Decision Support'!$H$29</f>
        <v>7000</v>
      </c>
      <c r="E168">
        <f>C168-'Decision Support'!$H$29</f>
        <v>-7000</v>
      </c>
      <c r="F168">
        <f t="shared" si="6"/>
        <v>0</v>
      </c>
    </row>
    <row r="169" spans="1:6" x14ac:dyDescent="0.25">
      <c r="A169">
        <f t="shared" si="5"/>
        <v>168</v>
      </c>
      <c r="C169">
        <v>0</v>
      </c>
      <c r="D169">
        <f>C169+'Decision Support'!$H$29</f>
        <v>7000</v>
      </c>
      <c r="E169">
        <f>C169-'Decision Support'!$H$29</f>
        <v>-7000</v>
      </c>
      <c r="F169">
        <f t="shared" si="6"/>
        <v>0</v>
      </c>
    </row>
    <row r="170" spans="1:6" x14ac:dyDescent="0.25">
      <c r="A170">
        <f t="shared" si="5"/>
        <v>169</v>
      </c>
      <c r="C170">
        <v>0</v>
      </c>
      <c r="D170">
        <f>C170+'Decision Support'!$H$29</f>
        <v>7000</v>
      </c>
      <c r="E170">
        <f>C170-'Decision Support'!$H$29</f>
        <v>-7000</v>
      </c>
      <c r="F170">
        <f t="shared" si="6"/>
        <v>0</v>
      </c>
    </row>
    <row r="171" spans="1:6" x14ac:dyDescent="0.25">
      <c r="A171">
        <f t="shared" si="5"/>
        <v>170</v>
      </c>
      <c r="C171">
        <v>0</v>
      </c>
      <c r="D171">
        <f>C171+'Decision Support'!$H$29</f>
        <v>7000</v>
      </c>
      <c r="E171">
        <f>C171-'Decision Support'!$H$29</f>
        <v>-7000</v>
      </c>
      <c r="F171">
        <f t="shared" si="6"/>
        <v>0</v>
      </c>
    </row>
    <row r="172" spans="1:6" x14ac:dyDescent="0.25">
      <c r="A172">
        <f t="shared" si="5"/>
        <v>171</v>
      </c>
      <c r="C172">
        <v>0</v>
      </c>
      <c r="D172">
        <f>C172+'Decision Support'!$H$29</f>
        <v>7000</v>
      </c>
      <c r="E172">
        <f>C172-'Decision Support'!$H$29</f>
        <v>-7000</v>
      </c>
      <c r="F172">
        <f t="shared" si="6"/>
        <v>0</v>
      </c>
    </row>
    <row r="173" spans="1:6" x14ac:dyDescent="0.25">
      <c r="A173">
        <f t="shared" si="5"/>
        <v>172</v>
      </c>
      <c r="C173">
        <v>0</v>
      </c>
      <c r="D173">
        <f>C173+'Decision Support'!$H$29</f>
        <v>7000</v>
      </c>
      <c r="E173">
        <f>C173-'Decision Support'!$H$29</f>
        <v>-7000</v>
      </c>
      <c r="F173">
        <f t="shared" si="6"/>
        <v>0</v>
      </c>
    </row>
    <row r="174" spans="1:6" x14ac:dyDescent="0.25">
      <c r="A174">
        <f t="shared" si="5"/>
        <v>173</v>
      </c>
      <c r="C174">
        <v>0</v>
      </c>
      <c r="D174">
        <f>C174+'Decision Support'!$H$29</f>
        <v>7000</v>
      </c>
      <c r="E174">
        <f>C174-'Decision Support'!$H$29</f>
        <v>-7000</v>
      </c>
      <c r="F174">
        <f t="shared" si="6"/>
        <v>0</v>
      </c>
    </row>
    <row r="175" spans="1:6" x14ac:dyDescent="0.25">
      <c r="A175">
        <f t="shared" si="5"/>
        <v>174</v>
      </c>
      <c r="C175">
        <v>0</v>
      </c>
      <c r="D175">
        <f>C175+'Decision Support'!$H$29</f>
        <v>7000</v>
      </c>
      <c r="E175">
        <f>C175-'Decision Support'!$H$29</f>
        <v>-7000</v>
      </c>
      <c r="F175">
        <f t="shared" si="6"/>
        <v>0</v>
      </c>
    </row>
    <row r="176" spans="1:6" x14ac:dyDescent="0.25">
      <c r="A176">
        <f t="shared" si="5"/>
        <v>175</v>
      </c>
      <c r="C176">
        <v>0</v>
      </c>
      <c r="D176">
        <f>C176+'Decision Support'!$H$29</f>
        <v>7000</v>
      </c>
      <c r="E176">
        <f>C176-'Decision Support'!$H$29</f>
        <v>-7000</v>
      </c>
      <c r="F176">
        <f t="shared" si="6"/>
        <v>0</v>
      </c>
    </row>
    <row r="177" spans="1:6" x14ac:dyDescent="0.25">
      <c r="A177">
        <f t="shared" si="5"/>
        <v>176</v>
      </c>
      <c r="C177">
        <v>0</v>
      </c>
      <c r="D177">
        <f>C177+'Decision Support'!$H$29</f>
        <v>7000</v>
      </c>
      <c r="E177">
        <f>C177-'Decision Support'!$H$29</f>
        <v>-7000</v>
      </c>
      <c r="F177">
        <f t="shared" si="6"/>
        <v>0</v>
      </c>
    </row>
    <row r="178" spans="1:6" x14ac:dyDescent="0.25">
      <c r="A178">
        <f t="shared" si="5"/>
        <v>177</v>
      </c>
      <c r="C178">
        <v>0</v>
      </c>
      <c r="D178">
        <f>C178+'Decision Support'!$H$29</f>
        <v>7000</v>
      </c>
      <c r="E178">
        <f>C178-'Decision Support'!$H$29</f>
        <v>-7000</v>
      </c>
      <c r="F178">
        <f t="shared" si="6"/>
        <v>0</v>
      </c>
    </row>
    <row r="179" spans="1:6" x14ac:dyDescent="0.25">
      <c r="A179">
        <f t="shared" si="5"/>
        <v>178</v>
      </c>
      <c r="C179">
        <v>0</v>
      </c>
      <c r="D179">
        <f>C179+'Decision Support'!$H$29</f>
        <v>7000</v>
      </c>
      <c r="E179">
        <f>C179-'Decision Support'!$H$29</f>
        <v>-7000</v>
      </c>
      <c r="F179">
        <f t="shared" si="6"/>
        <v>0</v>
      </c>
    </row>
    <row r="180" spans="1:6" x14ac:dyDescent="0.25">
      <c r="A180">
        <f t="shared" si="5"/>
        <v>179</v>
      </c>
      <c r="C180">
        <v>0</v>
      </c>
      <c r="D180">
        <f>C180+'Decision Support'!$H$29</f>
        <v>7000</v>
      </c>
      <c r="E180">
        <f>C180-'Decision Support'!$H$29</f>
        <v>-7000</v>
      </c>
      <c r="F180">
        <f t="shared" si="6"/>
        <v>0</v>
      </c>
    </row>
    <row r="181" spans="1:6" x14ac:dyDescent="0.25">
      <c r="A181">
        <f t="shared" si="5"/>
        <v>180</v>
      </c>
      <c r="C181">
        <v>0</v>
      </c>
      <c r="D181">
        <f>C181+'Decision Support'!$H$29</f>
        <v>7000</v>
      </c>
      <c r="E181">
        <f>C181-'Decision Support'!$H$29</f>
        <v>-7000</v>
      </c>
      <c r="F181">
        <f t="shared" si="6"/>
        <v>0</v>
      </c>
    </row>
    <row r="182" spans="1:6" x14ac:dyDescent="0.25">
      <c r="A182">
        <f t="shared" si="5"/>
        <v>181</v>
      </c>
      <c r="C182">
        <v>0</v>
      </c>
      <c r="D182">
        <f>C182+'Decision Support'!$H$29</f>
        <v>7000</v>
      </c>
      <c r="E182">
        <f>C182-'Decision Support'!$H$29</f>
        <v>-7000</v>
      </c>
      <c r="F182">
        <f t="shared" si="6"/>
        <v>0</v>
      </c>
    </row>
    <row r="183" spans="1:6" x14ac:dyDescent="0.25">
      <c r="A183">
        <f t="shared" si="5"/>
        <v>182</v>
      </c>
      <c r="C183">
        <v>0</v>
      </c>
      <c r="D183">
        <f>C183+'Decision Support'!$H$29</f>
        <v>7000</v>
      </c>
      <c r="E183">
        <f>C183-'Decision Support'!$H$29</f>
        <v>-7000</v>
      </c>
      <c r="F183">
        <f t="shared" si="6"/>
        <v>0</v>
      </c>
    </row>
    <row r="184" spans="1:6" x14ac:dyDescent="0.25">
      <c r="A184">
        <f t="shared" si="5"/>
        <v>183</v>
      </c>
      <c r="C184">
        <v>0</v>
      </c>
      <c r="D184">
        <f>C184+'Decision Support'!$H$29</f>
        <v>7000</v>
      </c>
      <c r="E184">
        <f>C184-'Decision Support'!$H$29</f>
        <v>-7000</v>
      </c>
      <c r="F184">
        <f t="shared" si="6"/>
        <v>0</v>
      </c>
    </row>
    <row r="185" spans="1:6" x14ac:dyDescent="0.25">
      <c r="A185">
        <f t="shared" si="5"/>
        <v>184</v>
      </c>
      <c r="C185">
        <v>0</v>
      </c>
      <c r="D185">
        <f>C185+'Decision Support'!$H$29</f>
        <v>7000</v>
      </c>
      <c r="E185">
        <f>C185-'Decision Support'!$H$29</f>
        <v>-7000</v>
      </c>
      <c r="F185">
        <f t="shared" si="6"/>
        <v>0</v>
      </c>
    </row>
    <row r="186" spans="1:6" x14ac:dyDescent="0.25">
      <c r="A186">
        <f t="shared" si="5"/>
        <v>185</v>
      </c>
      <c r="C186">
        <v>0</v>
      </c>
      <c r="D186">
        <f>C186+'Decision Support'!$H$29</f>
        <v>7000</v>
      </c>
      <c r="E186">
        <f>C186-'Decision Support'!$H$29</f>
        <v>-7000</v>
      </c>
      <c r="F186">
        <f t="shared" si="6"/>
        <v>0</v>
      </c>
    </row>
    <row r="187" spans="1:6" x14ac:dyDescent="0.25">
      <c r="A187">
        <f t="shared" si="5"/>
        <v>186</v>
      </c>
      <c r="C187">
        <v>0</v>
      </c>
      <c r="D187">
        <f>C187+'Decision Support'!$H$29</f>
        <v>7000</v>
      </c>
      <c r="E187">
        <f>C187-'Decision Support'!$H$29</f>
        <v>-7000</v>
      </c>
      <c r="F187">
        <f t="shared" si="6"/>
        <v>0</v>
      </c>
    </row>
    <row r="188" spans="1:6" x14ac:dyDescent="0.25">
      <c r="A188">
        <f t="shared" si="5"/>
        <v>187</v>
      </c>
      <c r="C188">
        <v>0</v>
      </c>
      <c r="D188">
        <f>C188+'Decision Support'!$H$29</f>
        <v>7000</v>
      </c>
      <c r="E188">
        <f>C188-'Decision Support'!$H$29</f>
        <v>-7000</v>
      </c>
      <c r="F188">
        <f t="shared" si="6"/>
        <v>0</v>
      </c>
    </row>
    <row r="189" spans="1:6" x14ac:dyDescent="0.25">
      <c r="A189">
        <f t="shared" si="5"/>
        <v>188</v>
      </c>
      <c r="C189">
        <v>0</v>
      </c>
      <c r="D189">
        <f>C189+'Decision Support'!$H$29</f>
        <v>7000</v>
      </c>
      <c r="E189">
        <f>C189-'Decision Support'!$H$29</f>
        <v>-7000</v>
      </c>
      <c r="F189">
        <f t="shared" si="6"/>
        <v>0</v>
      </c>
    </row>
    <row r="190" spans="1:6" x14ac:dyDescent="0.25">
      <c r="A190">
        <f t="shared" si="5"/>
        <v>189</v>
      </c>
      <c r="C190">
        <v>0</v>
      </c>
      <c r="D190">
        <f>C190+'Decision Support'!$H$29</f>
        <v>7000</v>
      </c>
      <c r="E190">
        <f>C190-'Decision Support'!$H$29</f>
        <v>-7000</v>
      </c>
      <c r="F190">
        <f t="shared" si="6"/>
        <v>0</v>
      </c>
    </row>
    <row r="191" spans="1:6" x14ac:dyDescent="0.25">
      <c r="A191">
        <f t="shared" si="5"/>
        <v>190</v>
      </c>
      <c r="C191">
        <v>0</v>
      </c>
      <c r="D191">
        <f>C191+'Decision Support'!$H$29</f>
        <v>7000</v>
      </c>
      <c r="E191">
        <f>C191-'Decision Support'!$H$29</f>
        <v>-7000</v>
      </c>
      <c r="F191">
        <f t="shared" si="6"/>
        <v>0</v>
      </c>
    </row>
    <row r="192" spans="1:6" x14ac:dyDescent="0.25">
      <c r="A192">
        <f t="shared" si="5"/>
        <v>191</v>
      </c>
      <c r="C192">
        <v>0</v>
      </c>
      <c r="D192">
        <f>C192+'Decision Support'!$H$29</f>
        <v>7000</v>
      </c>
      <c r="E192">
        <f>C192-'Decision Support'!$H$29</f>
        <v>-7000</v>
      </c>
      <c r="F192">
        <f t="shared" si="6"/>
        <v>0</v>
      </c>
    </row>
    <row r="193" spans="1:6" x14ac:dyDescent="0.25">
      <c r="A193">
        <f t="shared" si="5"/>
        <v>192</v>
      </c>
      <c r="C193">
        <v>0</v>
      </c>
      <c r="D193">
        <f>C193+'Decision Support'!$H$29</f>
        <v>7000</v>
      </c>
      <c r="E193">
        <f>C193-'Decision Support'!$H$29</f>
        <v>-7000</v>
      </c>
      <c r="F193">
        <f t="shared" si="6"/>
        <v>0</v>
      </c>
    </row>
    <row r="194" spans="1:6" x14ac:dyDescent="0.25">
      <c r="A194">
        <f t="shared" si="5"/>
        <v>193</v>
      </c>
      <c r="C194">
        <v>0</v>
      </c>
      <c r="D194">
        <f>C194+'Decision Support'!$H$29</f>
        <v>7000</v>
      </c>
      <c r="E194">
        <f>C194-'Decision Support'!$H$29</f>
        <v>-7000</v>
      </c>
      <c r="F194">
        <f t="shared" si="6"/>
        <v>0</v>
      </c>
    </row>
    <row r="195" spans="1:6" x14ac:dyDescent="0.25">
      <c r="A195">
        <f t="shared" ref="A195:A258" si="7">A194+1</f>
        <v>194</v>
      </c>
      <c r="C195">
        <v>0</v>
      </c>
      <c r="D195">
        <f>C195+'Decision Support'!$H$29</f>
        <v>7000</v>
      </c>
      <c r="E195">
        <f>C195-'Decision Support'!$H$29</f>
        <v>-7000</v>
      </c>
      <c r="F195">
        <f t="shared" si="6"/>
        <v>0</v>
      </c>
    </row>
    <row r="196" spans="1:6" x14ac:dyDescent="0.25">
      <c r="A196">
        <f t="shared" si="7"/>
        <v>195</v>
      </c>
      <c r="C196">
        <v>0</v>
      </c>
      <c r="D196">
        <f>C196+'Decision Support'!$H$29</f>
        <v>7000</v>
      </c>
      <c r="E196">
        <f>C196-'Decision Support'!$H$29</f>
        <v>-7000</v>
      </c>
      <c r="F196">
        <f t="shared" si="6"/>
        <v>0</v>
      </c>
    </row>
    <row r="197" spans="1:6" x14ac:dyDescent="0.25">
      <c r="A197">
        <f t="shared" si="7"/>
        <v>196</v>
      </c>
      <c r="C197">
        <v>0</v>
      </c>
      <c r="D197">
        <f>C197+'Decision Support'!$H$29</f>
        <v>7000</v>
      </c>
      <c r="E197">
        <f>C197-'Decision Support'!$H$29</f>
        <v>-7000</v>
      </c>
      <c r="F197">
        <f t="shared" si="6"/>
        <v>0</v>
      </c>
    </row>
    <row r="198" spans="1:6" x14ac:dyDescent="0.25">
      <c r="A198">
        <f t="shared" si="7"/>
        <v>197</v>
      </c>
      <c r="C198">
        <v>0</v>
      </c>
      <c r="D198">
        <f>C198+'Decision Support'!$H$29</f>
        <v>7000</v>
      </c>
      <c r="E198">
        <f>C198-'Decision Support'!$H$29</f>
        <v>-7000</v>
      </c>
      <c r="F198">
        <f t="shared" ref="F198:F261" si="8">IF(ABS(B198)&gt;7000,(ABS(B198)-7000)*$I$7,)</f>
        <v>0</v>
      </c>
    </row>
    <row r="199" spans="1:6" x14ac:dyDescent="0.25">
      <c r="A199">
        <f t="shared" si="7"/>
        <v>198</v>
      </c>
      <c r="C199">
        <v>0</v>
      </c>
      <c r="D199">
        <f>C199+'Decision Support'!$H$29</f>
        <v>7000</v>
      </c>
      <c r="E199">
        <f>C199-'Decision Support'!$H$29</f>
        <v>-7000</v>
      </c>
      <c r="F199">
        <f t="shared" si="8"/>
        <v>0</v>
      </c>
    </row>
    <row r="200" spans="1:6" x14ac:dyDescent="0.25">
      <c r="A200">
        <f t="shared" si="7"/>
        <v>199</v>
      </c>
      <c r="C200">
        <v>0</v>
      </c>
      <c r="D200">
        <f>C200+'Decision Support'!$H$29</f>
        <v>7000</v>
      </c>
      <c r="E200">
        <f>C200-'Decision Support'!$H$29</f>
        <v>-7000</v>
      </c>
      <c r="F200">
        <f t="shared" si="8"/>
        <v>0</v>
      </c>
    </row>
    <row r="201" spans="1:6" x14ac:dyDescent="0.25">
      <c r="A201">
        <f t="shared" si="7"/>
        <v>200</v>
      </c>
      <c r="C201">
        <v>0</v>
      </c>
      <c r="D201">
        <f>C201+'Decision Support'!$H$29</f>
        <v>7000</v>
      </c>
      <c r="E201">
        <f>C201-'Decision Support'!$H$29</f>
        <v>-7000</v>
      </c>
      <c r="F201">
        <f t="shared" si="8"/>
        <v>0</v>
      </c>
    </row>
    <row r="202" spans="1:6" x14ac:dyDescent="0.25">
      <c r="A202">
        <f t="shared" si="7"/>
        <v>201</v>
      </c>
      <c r="C202">
        <v>0</v>
      </c>
      <c r="D202">
        <f>C202+'Decision Support'!$H$29</f>
        <v>7000</v>
      </c>
      <c r="E202">
        <f>C202-'Decision Support'!$H$29</f>
        <v>-7000</v>
      </c>
      <c r="F202">
        <f t="shared" si="8"/>
        <v>0</v>
      </c>
    </row>
    <row r="203" spans="1:6" x14ac:dyDescent="0.25">
      <c r="A203">
        <f t="shared" si="7"/>
        <v>202</v>
      </c>
      <c r="C203">
        <v>0</v>
      </c>
      <c r="D203">
        <f>C203+'Decision Support'!$H$29</f>
        <v>7000</v>
      </c>
      <c r="E203">
        <f>C203-'Decision Support'!$H$29</f>
        <v>-7000</v>
      </c>
      <c r="F203">
        <f t="shared" si="8"/>
        <v>0</v>
      </c>
    </row>
    <row r="204" spans="1:6" x14ac:dyDescent="0.25">
      <c r="A204">
        <f t="shared" si="7"/>
        <v>203</v>
      </c>
      <c r="C204">
        <v>0</v>
      </c>
      <c r="D204">
        <f>C204+'Decision Support'!$H$29</f>
        <v>7000</v>
      </c>
      <c r="E204">
        <f>C204-'Decision Support'!$H$29</f>
        <v>-7000</v>
      </c>
      <c r="F204">
        <f t="shared" si="8"/>
        <v>0</v>
      </c>
    </row>
    <row r="205" spans="1:6" x14ac:dyDescent="0.25">
      <c r="A205">
        <f t="shared" si="7"/>
        <v>204</v>
      </c>
      <c r="C205">
        <v>0</v>
      </c>
      <c r="D205">
        <f>C205+'Decision Support'!$H$29</f>
        <v>7000</v>
      </c>
      <c r="E205">
        <f>C205-'Decision Support'!$H$29</f>
        <v>-7000</v>
      </c>
      <c r="F205">
        <f t="shared" si="8"/>
        <v>0</v>
      </c>
    </row>
    <row r="206" spans="1:6" x14ac:dyDescent="0.25">
      <c r="A206">
        <f t="shared" si="7"/>
        <v>205</v>
      </c>
      <c r="C206">
        <v>0</v>
      </c>
      <c r="D206">
        <f>C206+'Decision Support'!$H$29</f>
        <v>7000</v>
      </c>
      <c r="E206">
        <f>C206-'Decision Support'!$H$29</f>
        <v>-7000</v>
      </c>
      <c r="F206">
        <f t="shared" si="8"/>
        <v>0</v>
      </c>
    </row>
    <row r="207" spans="1:6" x14ac:dyDescent="0.25">
      <c r="A207">
        <f t="shared" si="7"/>
        <v>206</v>
      </c>
      <c r="C207">
        <v>0</v>
      </c>
      <c r="D207">
        <f>C207+'Decision Support'!$H$29</f>
        <v>7000</v>
      </c>
      <c r="E207">
        <f>C207-'Decision Support'!$H$29</f>
        <v>-7000</v>
      </c>
      <c r="F207">
        <f t="shared" si="8"/>
        <v>0</v>
      </c>
    </row>
    <row r="208" spans="1:6" x14ac:dyDescent="0.25">
      <c r="A208">
        <f t="shared" si="7"/>
        <v>207</v>
      </c>
      <c r="C208">
        <v>0</v>
      </c>
      <c r="D208">
        <f>C208+'Decision Support'!$H$29</f>
        <v>7000</v>
      </c>
      <c r="E208">
        <f>C208-'Decision Support'!$H$29</f>
        <v>-7000</v>
      </c>
      <c r="F208">
        <f t="shared" si="8"/>
        <v>0</v>
      </c>
    </row>
    <row r="209" spans="1:6" x14ac:dyDescent="0.25">
      <c r="A209">
        <f t="shared" si="7"/>
        <v>208</v>
      </c>
      <c r="C209">
        <v>0</v>
      </c>
      <c r="D209">
        <f>C209+'Decision Support'!$H$29</f>
        <v>7000</v>
      </c>
      <c r="E209">
        <f>C209-'Decision Support'!$H$29</f>
        <v>-7000</v>
      </c>
      <c r="F209">
        <f t="shared" si="8"/>
        <v>0</v>
      </c>
    </row>
    <row r="210" spans="1:6" x14ac:dyDescent="0.25">
      <c r="A210">
        <f t="shared" si="7"/>
        <v>209</v>
      </c>
      <c r="C210">
        <v>0</v>
      </c>
      <c r="D210">
        <f>C210+'Decision Support'!$H$29</f>
        <v>7000</v>
      </c>
      <c r="E210">
        <f>C210-'Decision Support'!$H$29</f>
        <v>-7000</v>
      </c>
      <c r="F210">
        <f t="shared" si="8"/>
        <v>0</v>
      </c>
    </row>
    <row r="211" spans="1:6" x14ac:dyDescent="0.25">
      <c r="A211">
        <f t="shared" si="7"/>
        <v>210</v>
      </c>
      <c r="C211">
        <v>0</v>
      </c>
      <c r="D211">
        <f>C211+'Decision Support'!$H$29</f>
        <v>7000</v>
      </c>
      <c r="E211">
        <f>C211-'Decision Support'!$H$29</f>
        <v>-7000</v>
      </c>
      <c r="F211">
        <f t="shared" si="8"/>
        <v>0</v>
      </c>
    </row>
    <row r="212" spans="1:6" x14ac:dyDescent="0.25">
      <c r="A212">
        <f t="shared" si="7"/>
        <v>211</v>
      </c>
      <c r="C212">
        <v>0</v>
      </c>
      <c r="D212">
        <f>C212+'Decision Support'!$H$29</f>
        <v>7000</v>
      </c>
      <c r="E212">
        <f>C212-'Decision Support'!$H$29</f>
        <v>-7000</v>
      </c>
      <c r="F212">
        <f t="shared" si="8"/>
        <v>0</v>
      </c>
    </row>
    <row r="213" spans="1:6" x14ac:dyDescent="0.25">
      <c r="A213">
        <f t="shared" si="7"/>
        <v>212</v>
      </c>
      <c r="C213">
        <v>0</v>
      </c>
      <c r="D213">
        <f>C213+'Decision Support'!$H$29</f>
        <v>7000</v>
      </c>
      <c r="E213">
        <f>C213-'Decision Support'!$H$29</f>
        <v>-7000</v>
      </c>
      <c r="F213">
        <f t="shared" si="8"/>
        <v>0</v>
      </c>
    </row>
    <row r="214" spans="1:6" x14ac:dyDescent="0.25">
      <c r="A214">
        <f t="shared" si="7"/>
        <v>213</v>
      </c>
      <c r="C214">
        <v>0</v>
      </c>
      <c r="D214">
        <f>C214+'Decision Support'!$H$29</f>
        <v>7000</v>
      </c>
      <c r="E214">
        <f>C214-'Decision Support'!$H$29</f>
        <v>-7000</v>
      </c>
      <c r="F214">
        <f t="shared" si="8"/>
        <v>0</v>
      </c>
    </row>
    <row r="215" spans="1:6" x14ac:dyDescent="0.25">
      <c r="A215">
        <f t="shared" si="7"/>
        <v>214</v>
      </c>
      <c r="C215">
        <v>0</v>
      </c>
      <c r="D215">
        <f>C215+'Decision Support'!$H$29</f>
        <v>7000</v>
      </c>
      <c r="E215">
        <f>C215-'Decision Support'!$H$29</f>
        <v>-7000</v>
      </c>
      <c r="F215">
        <f t="shared" si="8"/>
        <v>0</v>
      </c>
    </row>
    <row r="216" spans="1:6" x14ac:dyDescent="0.25">
      <c r="A216">
        <f t="shared" si="7"/>
        <v>215</v>
      </c>
      <c r="C216">
        <v>0</v>
      </c>
      <c r="D216">
        <f>C216+'Decision Support'!$H$29</f>
        <v>7000</v>
      </c>
      <c r="E216">
        <f>C216-'Decision Support'!$H$29</f>
        <v>-7000</v>
      </c>
      <c r="F216">
        <f t="shared" si="8"/>
        <v>0</v>
      </c>
    </row>
    <row r="217" spans="1:6" x14ac:dyDescent="0.25">
      <c r="A217">
        <f t="shared" si="7"/>
        <v>216</v>
      </c>
      <c r="C217">
        <v>0</v>
      </c>
      <c r="D217">
        <f>C217+'Decision Support'!$H$29</f>
        <v>7000</v>
      </c>
      <c r="E217">
        <f>C217-'Decision Support'!$H$29</f>
        <v>-7000</v>
      </c>
      <c r="F217">
        <f t="shared" si="8"/>
        <v>0</v>
      </c>
    </row>
    <row r="218" spans="1:6" x14ac:dyDescent="0.25">
      <c r="A218">
        <f t="shared" si="7"/>
        <v>217</v>
      </c>
      <c r="C218">
        <v>0</v>
      </c>
      <c r="D218">
        <f>C218+'Decision Support'!$H$29</f>
        <v>7000</v>
      </c>
      <c r="E218">
        <f>C218-'Decision Support'!$H$29</f>
        <v>-7000</v>
      </c>
      <c r="F218">
        <f t="shared" si="8"/>
        <v>0</v>
      </c>
    </row>
    <row r="219" spans="1:6" x14ac:dyDescent="0.25">
      <c r="A219">
        <f t="shared" si="7"/>
        <v>218</v>
      </c>
      <c r="C219">
        <v>0</v>
      </c>
      <c r="D219">
        <f>C219+'Decision Support'!$H$29</f>
        <v>7000</v>
      </c>
      <c r="E219">
        <f>C219-'Decision Support'!$H$29</f>
        <v>-7000</v>
      </c>
      <c r="F219">
        <f t="shared" si="8"/>
        <v>0</v>
      </c>
    </row>
    <row r="220" spans="1:6" x14ac:dyDescent="0.25">
      <c r="A220">
        <f t="shared" si="7"/>
        <v>219</v>
      </c>
      <c r="C220">
        <v>0</v>
      </c>
      <c r="D220">
        <f>C220+'Decision Support'!$H$29</f>
        <v>7000</v>
      </c>
      <c r="E220">
        <f>C220-'Decision Support'!$H$29</f>
        <v>-7000</v>
      </c>
      <c r="F220">
        <f t="shared" si="8"/>
        <v>0</v>
      </c>
    </row>
    <row r="221" spans="1:6" x14ac:dyDescent="0.25">
      <c r="A221">
        <f t="shared" si="7"/>
        <v>220</v>
      </c>
      <c r="C221">
        <v>0</v>
      </c>
      <c r="D221">
        <f>C221+'Decision Support'!$H$29</f>
        <v>7000</v>
      </c>
      <c r="E221">
        <f>C221-'Decision Support'!$H$29</f>
        <v>-7000</v>
      </c>
      <c r="F221">
        <f t="shared" si="8"/>
        <v>0</v>
      </c>
    </row>
    <row r="222" spans="1:6" x14ac:dyDescent="0.25">
      <c r="A222">
        <f t="shared" si="7"/>
        <v>221</v>
      </c>
      <c r="C222">
        <v>0</v>
      </c>
      <c r="D222">
        <f>C222+'Decision Support'!$H$29</f>
        <v>7000</v>
      </c>
      <c r="E222">
        <f>C222-'Decision Support'!$H$29</f>
        <v>-7000</v>
      </c>
      <c r="F222">
        <f t="shared" si="8"/>
        <v>0</v>
      </c>
    </row>
    <row r="223" spans="1:6" x14ac:dyDescent="0.25">
      <c r="A223">
        <f t="shared" si="7"/>
        <v>222</v>
      </c>
      <c r="C223">
        <v>0</v>
      </c>
      <c r="D223">
        <f>C223+'Decision Support'!$H$29</f>
        <v>7000</v>
      </c>
      <c r="E223">
        <f>C223-'Decision Support'!$H$29</f>
        <v>-7000</v>
      </c>
      <c r="F223">
        <f t="shared" si="8"/>
        <v>0</v>
      </c>
    </row>
    <row r="224" spans="1:6" x14ac:dyDescent="0.25">
      <c r="A224">
        <f t="shared" si="7"/>
        <v>223</v>
      </c>
      <c r="C224">
        <v>0</v>
      </c>
      <c r="D224">
        <f>C224+'Decision Support'!$H$29</f>
        <v>7000</v>
      </c>
      <c r="E224">
        <f>C224-'Decision Support'!$H$29</f>
        <v>-7000</v>
      </c>
      <c r="F224">
        <f t="shared" si="8"/>
        <v>0</v>
      </c>
    </row>
    <row r="225" spans="1:6" x14ac:dyDescent="0.25">
      <c r="A225">
        <f t="shared" si="7"/>
        <v>224</v>
      </c>
      <c r="C225">
        <v>0</v>
      </c>
      <c r="D225">
        <f>C225+'Decision Support'!$H$29</f>
        <v>7000</v>
      </c>
      <c r="E225">
        <f>C225-'Decision Support'!$H$29</f>
        <v>-7000</v>
      </c>
      <c r="F225">
        <f t="shared" si="8"/>
        <v>0</v>
      </c>
    </row>
    <row r="226" spans="1:6" x14ac:dyDescent="0.25">
      <c r="A226">
        <f t="shared" si="7"/>
        <v>225</v>
      </c>
      <c r="C226">
        <v>0</v>
      </c>
      <c r="D226">
        <f>C226+'Decision Support'!$H$29</f>
        <v>7000</v>
      </c>
      <c r="E226">
        <f>C226-'Decision Support'!$H$29</f>
        <v>-7000</v>
      </c>
      <c r="F226">
        <f t="shared" si="8"/>
        <v>0</v>
      </c>
    </row>
    <row r="227" spans="1:6" x14ac:dyDescent="0.25">
      <c r="A227">
        <f t="shared" si="7"/>
        <v>226</v>
      </c>
      <c r="C227">
        <v>0</v>
      </c>
      <c r="D227">
        <f>C227+'Decision Support'!$H$29</f>
        <v>7000</v>
      </c>
      <c r="E227">
        <f>C227-'Decision Support'!$H$29</f>
        <v>-7000</v>
      </c>
      <c r="F227">
        <f t="shared" si="8"/>
        <v>0</v>
      </c>
    </row>
    <row r="228" spans="1:6" x14ac:dyDescent="0.25">
      <c r="A228">
        <f t="shared" si="7"/>
        <v>227</v>
      </c>
      <c r="C228">
        <v>0</v>
      </c>
      <c r="D228">
        <f>C228+'Decision Support'!$H$29</f>
        <v>7000</v>
      </c>
      <c r="E228">
        <f>C228-'Decision Support'!$H$29</f>
        <v>-7000</v>
      </c>
      <c r="F228">
        <f t="shared" si="8"/>
        <v>0</v>
      </c>
    </row>
    <row r="229" spans="1:6" x14ac:dyDescent="0.25">
      <c r="A229">
        <f t="shared" si="7"/>
        <v>228</v>
      </c>
      <c r="C229">
        <v>0</v>
      </c>
      <c r="D229">
        <f>C229+'Decision Support'!$H$29</f>
        <v>7000</v>
      </c>
      <c r="E229">
        <f>C229-'Decision Support'!$H$29</f>
        <v>-7000</v>
      </c>
      <c r="F229">
        <f t="shared" si="8"/>
        <v>0</v>
      </c>
    </row>
    <row r="230" spans="1:6" x14ac:dyDescent="0.25">
      <c r="A230">
        <f t="shared" si="7"/>
        <v>229</v>
      </c>
      <c r="C230">
        <v>0</v>
      </c>
      <c r="D230">
        <f>C230+'Decision Support'!$H$29</f>
        <v>7000</v>
      </c>
      <c r="E230">
        <f>C230-'Decision Support'!$H$29</f>
        <v>-7000</v>
      </c>
      <c r="F230">
        <f t="shared" si="8"/>
        <v>0</v>
      </c>
    </row>
    <row r="231" spans="1:6" x14ac:dyDescent="0.25">
      <c r="A231">
        <f t="shared" si="7"/>
        <v>230</v>
      </c>
      <c r="C231">
        <v>0</v>
      </c>
      <c r="D231">
        <f>C231+'Decision Support'!$H$29</f>
        <v>7000</v>
      </c>
      <c r="E231">
        <f>C231-'Decision Support'!$H$29</f>
        <v>-7000</v>
      </c>
      <c r="F231">
        <f t="shared" si="8"/>
        <v>0</v>
      </c>
    </row>
    <row r="232" spans="1:6" x14ac:dyDescent="0.25">
      <c r="A232">
        <f t="shared" si="7"/>
        <v>231</v>
      </c>
      <c r="C232">
        <v>0</v>
      </c>
      <c r="D232">
        <f>C232+'Decision Support'!$H$29</f>
        <v>7000</v>
      </c>
      <c r="E232">
        <f>C232-'Decision Support'!$H$29</f>
        <v>-7000</v>
      </c>
      <c r="F232">
        <f t="shared" si="8"/>
        <v>0</v>
      </c>
    </row>
    <row r="233" spans="1:6" x14ac:dyDescent="0.25">
      <c r="A233">
        <f t="shared" si="7"/>
        <v>232</v>
      </c>
      <c r="C233">
        <v>0</v>
      </c>
      <c r="D233">
        <f>C233+'Decision Support'!$H$29</f>
        <v>7000</v>
      </c>
      <c r="E233">
        <f>C233-'Decision Support'!$H$29</f>
        <v>-7000</v>
      </c>
      <c r="F233">
        <f t="shared" si="8"/>
        <v>0</v>
      </c>
    </row>
    <row r="234" spans="1:6" x14ac:dyDescent="0.25">
      <c r="A234">
        <f t="shared" si="7"/>
        <v>233</v>
      </c>
      <c r="C234">
        <v>0</v>
      </c>
      <c r="D234">
        <f>C234+'Decision Support'!$H$29</f>
        <v>7000</v>
      </c>
      <c r="E234">
        <f>C234-'Decision Support'!$H$29</f>
        <v>-7000</v>
      </c>
      <c r="F234">
        <f t="shared" si="8"/>
        <v>0</v>
      </c>
    </row>
    <row r="235" spans="1:6" x14ac:dyDescent="0.25">
      <c r="A235">
        <f t="shared" si="7"/>
        <v>234</v>
      </c>
      <c r="C235">
        <v>0</v>
      </c>
      <c r="D235">
        <f>C235+'Decision Support'!$H$29</f>
        <v>7000</v>
      </c>
      <c r="E235">
        <f>C235-'Decision Support'!$H$29</f>
        <v>-7000</v>
      </c>
      <c r="F235">
        <f t="shared" si="8"/>
        <v>0</v>
      </c>
    </row>
    <row r="236" spans="1:6" x14ac:dyDescent="0.25">
      <c r="A236">
        <f t="shared" si="7"/>
        <v>235</v>
      </c>
      <c r="C236">
        <v>0</v>
      </c>
      <c r="D236">
        <f>C236+'Decision Support'!$H$29</f>
        <v>7000</v>
      </c>
      <c r="E236">
        <f>C236-'Decision Support'!$H$29</f>
        <v>-7000</v>
      </c>
      <c r="F236">
        <f t="shared" si="8"/>
        <v>0</v>
      </c>
    </row>
    <row r="237" spans="1:6" x14ac:dyDescent="0.25">
      <c r="A237">
        <f t="shared" si="7"/>
        <v>236</v>
      </c>
      <c r="C237">
        <v>0</v>
      </c>
      <c r="D237">
        <f>C237+'Decision Support'!$H$29</f>
        <v>7000</v>
      </c>
      <c r="E237">
        <f>C237-'Decision Support'!$H$29</f>
        <v>-7000</v>
      </c>
      <c r="F237">
        <f t="shared" si="8"/>
        <v>0</v>
      </c>
    </row>
    <row r="238" spans="1:6" x14ac:dyDescent="0.25">
      <c r="A238">
        <f t="shared" si="7"/>
        <v>237</v>
      </c>
      <c r="C238">
        <v>0</v>
      </c>
      <c r="D238">
        <f>C238+'Decision Support'!$H$29</f>
        <v>7000</v>
      </c>
      <c r="E238">
        <f>C238-'Decision Support'!$H$29</f>
        <v>-7000</v>
      </c>
      <c r="F238">
        <f t="shared" si="8"/>
        <v>0</v>
      </c>
    </row>
    <row r="239" spans="1:6" x14ac:dyDescent="0.25">
      <c r="A239">
        <f t="shared" si="7"/>
        <v>238</v>
      </c>
      <c r="C239">
        <v>0</v>
      </c>
      <c r="D239">
        <f>C239+'Decision Support'!$H$29</f>
        <v>7000</v>
      </c>
      <c r="E239">
        <f>C239-'Decision Support'!$H$29</f>
        <v>-7000</v>
      </c>
      <c r="F239">
        <f t="shared" si="8"/>
        <v>0</v>
      </c>
    </row>
    <row r="240" spans="1:6" x14ac:dyDescent="0.25">
      <c r="A240">
        <f t="shared" si="7"/>
        <v>239</v>
      </c>
      <c r="C240">
        <v>0</v>
      </c>
      <c r="D240">
        <f>C240+'Decision Support'!$H$29</f>
        <v>7000</v>
      </c>
      <c r="E240">
        <f>C240-'Decision Support'!$H$29</f>
        <v>-7000</v>
      </c>
      <c r="F240">
        <f t="shared" si="8"/>
        <v>0</v>
      </c>
    </row>
    <row r="241" spans="1:6" x14ac:dyDescent="0.25">
      <c r="A241">
        <f t="shared" si="7"/>
        <v>240</v>
      </c>
      <c r="C241">
        <v>0</v>
      </c>
      <c r="D241">
        <f>C241+'Decision Support'!$H$29</f>
        <v>7000</v>
      </c>
      <c r="E241">
        <f>C241-'Decision Support'!$H$29</f>
        <v>-7000</v>
      </c>
      <c r="F241">
        <f t="shared" si="8"/>
        <v>0</v>
      </c>
    </row>
    <row r="242" spans="1:6" x14ac:dyDescent="0.25">
      <c r="A242">
        <f t="shared" si="7"/>
        <v>241</v>
      </c>
      <c r="C242">
        <v>0</v>
      </c>
      <c r="D242">
        <f>C242+'Decision Support'!$H$29</f>
        <v>7000</v>
      </c>
      <c r="E242">
        <f>C242-'Decision Support'!$H$29</f>
        <v>-7000</v>
      </c>
      <c r="F242">
        <f t="shared" si="8"/>
        <v>0</v>
      </c>
    </row>
    <row r="243" spans="1:6" x14ac:dyDescent="0.25">
      <c r="A243">
        <f t="shared" si="7"/>
        <v>242</v>
      </c>
      <c r="C243">
        <v>0</v>
      </c>
      <c r="D243">
        <f>C243+'Decision Support'!$H$29</f>
        <v>7000</v>
      </c>
      <c r="E243">
        <f>C243-'Decision Support'!$H$29</f>
        <v>-7000</v>
      </c>
      <c r="F243">
        <f t="shared" si="8"/>
        <v>0</v>
      </c>
    </row>
    <row r="244" spans="1:6" x14ac:dyDescent="0.25">
      <c r="A244">
        <f t="shared" si="7"/>
        <v>243</v>
      </c>
      <c r="C244">
        <v>0</v>
      </c>
      <c r="D244">
        <f>C244+'Decision Support'!$H$29</f>
        <v>7000</v>
      </c>
      <c r="E244">
        <f>C244-'Decision Support'!$H$29</f>
        <v>-7000</v>
      </c>
      <c r="F244">
        <f t="shared" si="8"/>
        <v>0</v>
      </c>
    </row>
    <row r="245" spans="1:6" x14ac:dyDescent="0.25">
      <c r="A245">
        <f t="shared" si="7"/>
        <v>244</v>
      </c>
      <c r="C245">
        <v>0</v>
      </c>
      <c r="D245">
        <f>C245+'Decision Support'!$H$29</f>
        <v>7000</v>
      </c>
      <c r="E245">
        <f>C245-'Decision Support'!$H$29</f>
        <v>-7000</v>
      </c>
      <c r="F245">
        <f t="shared" si="8"/>
        <v>0</v>
      </c>
    </row>
    <row r="246" spans="1:6" x14ac:dyDescent="0.25">
      <c r="A246">
        <f t="shared" si="7"/>
        <v>245</v>
      </c>
      <c r="C246">
        <v>0</v>
      </c>
      <c r="D246">
        <f>C246+'Decision Support'!$H$29</f>
        <v>7000</v>
      </c>
      <c r="E246">
        <f>C246-'Decision Support'!$H$29</f>
        <v>-7000</v>
      </c>
      <c r="F246">
        <f t="shared" si="8"/>
        <v>0</v>
      </c>
    </row>
    <row r="247" spans="1:6" x14ac:dyDescent="0.25">
      <c r="A247">
        <f t="shared" si="7"/>
        <v>246</v>
      </c>
      <c r="C247">
        <v>0</v>
      </c>
      <c r="D247">
        <f>C247+'Decision Support'!$H$29</f>
        <v>7000</v>
      </c>
      <c r="E247">
        <f>C247-'Decision Support'!$H$29</f>
        <v>-7000</v>
      </c>
      <c r="F247">
        <f t="shared" si="8"/>
        <v>0</v>
      </c>
    </row>
    <row r="248" spans="1:6" x14ac:dyDescent="0.25">
      <c r="A248">
        <f t="shared" si="7"/>
        <v>247</v>
      </c>
      <c r="C248">
        <v>0</v>
      </c>
      <c r="D248">
        <f>C248+'Decision Support'!$H$29</f>
        <v>7000</v>
      </c>
      <c r="E248">
        <f>C248-'Decision Support'!$H$29</f>
        <v>-7000</v>
      </c>
      <c r="F248">
        <f t="shared" si="8"/>
        <v>0</v>
      </c>
    </row>
    <row r="249" spans="1:6" x14ac:dyDescent="0.25">
      <c r="A249">
        <f t="shared" si="7"/>
        <v>248</v>
      </c>
      <c r="C249">
        <v>0</v>
      </c>
      <c r="D249">
        <f>C249+'Decision Support'!$H$29</f>
        <v>7000</v>
      </c>
      <c r="E249">
        <f>C249-'Decision Support'!$H$29</f>
        <v>-7000</v>
      </c>
      <c r="F249">
        <f t="shared" si="8"/>
        <v>0</v>
      </c>
    </row>
    <row r="250" spans="1:6" x14ac:dyDescent="0.25">
      <c r="A250">
        <f t="shared" si="7"/>
        <v>249</v>
      </c>
      <c r="C250">
        <v>0</v>
      </c>
      <c r="D250">
        <f>C250+'Decision Support'!$H$29</f>
        <v>7000</v>
      </c>
      <c r="E250">
        <f>C250-'Decision Support'!$H$29</f>
        <v>-7000</v>
      </c>
      <c r="F250">
        <f t="shared" si="8"/>
        <v>0</v>
      </c>
    </row>
    <row r="251" spans="1:6" x14ac:dyDescent="0.25">
      <c r="A251">
        <f t="shared" si="7"/>
        <v>250</v>
      </c>
      <c r="C251">
        <v>0</v>
      </c>
      <c r="D251">
        <f>C251+'Decision Support'!$H$29</f>
        <v>7000</v>
      </c>
      <c r="E251">
        <f>C251-'Decision Support'!$H$29</f>
        <v>-7000</v>
      </c>
      <c r="F251">
        <f t="shared" si="8"/>
        <v>0</v>
      </c>
    </row>
    <row r="252" spans="1:6" x14ac:dyDescent="0.25">
      <c r="A252">
        <f t="shared" si="7"/>
        <v>251</v>
      </c>
      <c r="C252">
        <v>0</v>
      </c>
      <c r="D252">
        <f>C252+'Decision Support'!$H$29</f>
        <v>7000</v>
      </c>
      <c r="E252">
        <f>C252-'Decision Support'!$H$29</f>
        <v>-7000</v>
      </c>
      <c r="F252">
        <f t="shared" si="8"/>
        <v>0</v>
      </c>
    </row>
    <row r="253" spans="1:6" x14ac:dyDescent="0.25">
      <c r="A253">
        <f t="shared" si="7"/>
        <v>252</v>
      </c>
      <c r="C253">
        <v>0</v>
      </c>
      <c r="D253">
        <f>C253+'Decision Support'!$H$29</f>
        <v>7000</v>
      </c>
      <c r="E253">
        <f>C253-'Decision Support'!$H$29</f>
        <v>-7000</v>
      </c>
      <c r="F253">
        <f t="shared" si="8"/>
        <v>0</v>
      </c>
    </row>
    <row r="254" spans="1:6" x14ac:dyDescent="0.25">
      <c r="A254">
        <f t="shared" si="7"/>
        <v>253</v>
      </c>
      <c r="C254">
        <v>0</v>
      </c>
      <c r="D254">
        <f>C254+'Decision Support'!$H$29</f>
        <v>7000</v>
      </c>
      <c r="E254">
        <f>C254-'Decision Support'!$H$29</f>
        <v>-7000</v>
      </c>
      <c r="F254">
        <f t="shared" si="8"/>
        <v>0</v>
      </c>
    </row>
    <row r="255" spans="1:6" x14ac:dyDescent="0.25">
      <c r="A255">
        <f t="shared" si="7"/>
        <v>254</v>
      </c>
      <c r="C255">
        <v>0</v>
      </c>
      <c r="D255">
        <f>C255+'Decision Support'!$H$29</f>
        <v>7000</v>
      </c>
      <c r="E255">
        <f>C255-'Decision Support'!$H$29</f>
        <v>-7000</v>
      </c>
      <c r="F255">
        <f t="shared" si="8"/>
        <v>0</v>
      </c>
    </row>
    <row r="256" spans="1:6" x14ac:dyDescent="0.25">
      <c r="A256">
        <f t="shared" si="7"/>
        <v>255</v>
      </c>
      <c r="C256">
        <v>0</v>
      </c>
      <c r="D256">
        <f>C256+'Decision Support'!$H$29</f>
        <v>7000</v>
      </c>
      <c r="E256">
        <f>C256-'Decision Support'!$H$29</f>
        <v>-7000</v>
      </c>
      <c r="F256">
        <f t="shared" si="8"/>
        <v>0</v>
      </c>
    </row>
    <row r="257" spans="1:6" x14ac:dyDescent="0.25">
      <c r="A257">
        <f t="shared" si="7"/>
        <v>256</v>
      </c>
      <c r="C257">
        <v>0</v>
      </c>
      <c r="D257">
        <f>C257+'Decision Support'!$H$29</f>
        <v>7000</v>
      </c>
      <c r="E257">
        <f>C257-'Decision Support'!$H$29</f>
        <v>-7000</v>
      </c>
      <c r="F257">
        <f t="shared" si="8"/>
        <v>0</v>
      </c>
    </row>
    <row r="258" spans="1:6" x14ac:dyDescent="0.25">
      <c r="A258">
        <f t="shared" si="7"/>
        <v>257</v>
      </c>
      <c r="C258">
        <v>0</v>
      </c>
      <c r="D258">
        <f>C258+'Decision Support'!$H$29</f>
        <v>7000</v>
      </c>
      <c r="E258">
        <f>C258-'Decision Support'!$H$29</f>
        <v>-7000</v>
      </c>
      <c r="F258">
        <f t="shared" si="8"/>
        <v>0</v>
      </c>
    </row>
    <row r="259" spans="1:6" x14ac:dyDescent="0.25">
      <c r="A259">
        <f t="shared" ref="A259:A301" si="9">A258+1</f>
        <v>258</v>
      </c>
      <c r="C259">
        <v>0</v>
      </c>
      <c r="D259">
        <f>C259+'Decision Support'!$H$29</f>
        <v>7000</v>
      </c>
      <c r="E259">
        <f>C259-'Decision Support'!$H$29</f>
        <v>-7000</v>
      </c>
      <c r="F259">
        <f t="shared" si="8"/>
        <v>0</v>
      </c>
    </row>
    <row r="260" spans="1:6" x14ac:dyDescent="0.25">
      <c r="A260">
        <f t="shared" si="9"/>
        <v>259</v>
      </c>
      <c r="C260">
        <v>0</v>
      </c>
      <c r="D260">
        <f>C260+'Decision Support'!$H$29</f>
        <v>7000</v>
      </c>
      <c r="E260">
        <f>C260-'Decision Support'!$H$29</f>
        <v>-7000</v>
      </c>
      <c r="F260">
        <f t="shared" si="8"/>
        <v>0</v>
      </c>
    </row>
    <row r="261" spans="1:6" x14ac:dyDescent="0.25">
      <c r="A261">
        <f t="shared" si="9"/>
        <v>260</v>
      </c>
      <c r="C261">
        <v>0</v>
      </c>
      <c r="D261">
        <f>C261+'Decision Support'!$H$29</f>
        <v>7000</v>
      </c>
      <c r="E261">
        <f>C261-'Decision Support'!$H$29</f>
        <v>-7000</v>
      </c>
      <c r="F261">
        <f t="shared" si="8"/>
        <v>0</v>
      </c>
    </row>
    <row r="262" spans="1:6" x14ac:dyDescent="0.25">
      <c r="A262">
        <f t="shared" si="9"/>
        <v>261</v>
      </c>
      <c r="C262">
        <v>0</v>
      </c>
      <c r="D262">
        <f>C262+'Decision Support'!$H$29</f>
        <v>7000</v>
      </c>
      <c r="E262">
        <f>C262-'Decision Support'!$H$29</f>
        <v>-7000</v>
      </c>
      <c r="F262">
        <f t="shared" ref="F262:F301" si="10">IF(ABS(B262)&gt;7000,(ABS(B262)-7000)*$I$7,)</f>
        <v>0</v>
      </c>
    </row>
    <row r="263" spans="1:6" x14ac:dyDescent="0.25">
      <c r="A263">
        <f t="shared" si="9"/>
        <v>262</v>
      </c>
      <c r="C263">
        <v>0</v>
      </c>
      <c r="D263">
        <f>C263+'Decision Support'!$H$29</f>
        <v>7000</v>
      </c>
      <c r="E263">
        <f>C263-'Decision Support'!$H$29</f>
        <v>-7000</v>
      </c>
      <c r="F263">
        <f t="shared" si="10"/>
        <v>0</v>
      </c>
    </row>
    <row r="264" spans="1:6" x14ac:dyDescent="0.25">
      <c r="A264">
        <f t="shared" si="9"/>
        <v>263</v>
      </c>
      <c r="C264">
        <v>0</v>
      </c>
      <c r="D264">
        <f>C264+'Decision Support'!$H$29</f>
        <v>7000</v>
      </c>
      <c r="E264">
        <f>C264-'Decision Support'!$H$29</f>
        <v>-7000</v>
      </c>
      <c r="F264">
        <f t="shared" si="10"/>
        <v>0</v>
      </c>
    </row>
    <row r="265" spans="1:6" x14ac:dyDescent="0.25">
      <c r="A265">
        <f t="shared" si="9"/>
        <v>264</v>
      </c>
      <c r="C265">
        <v>0</v>
      </c>
      <c r="D265">
        <f>C265+'Decision Support'!$H$29</f>
        <v>7000</v>
      </c>
      <c r="E265">
        <f>C265-'Decision Support'!$H$29</f>
        <v>-7000</v>
      </c>
      <c r="F265">
        <f t="shared" si="10"/>
        <v>0</v>
      </c>
    </row>
    <row r="266" spans="1:6" x14ac:dyDescent="0.25">
      <c r="A266">
        <f t="shared" si="9"/>
        <v>265</v>
      </c>
      <c r="C266">
        <v>0</v>
      </c>
      <c r="D266">
        <f>C266+'Decision Support'!$H$29</f>
        <v>7000</v>
      </c>
      <c r="E266">
        <f>C266-'Decision Support'!$H$29</f>
        <v>-7000</v>
      </c>
      <c r="F266">
        <f t="shared" si="10"/>
        <v>0</v>
      </c>
    </row>
    <row r="267" spans="1:6" x14ac:dyDescent="0.25">
      <c r="A267">
        <f t="shared" si="9"/>
        <v>266</v>
      </c>
      <c r="C267">
        <v>0</v>
      </c>
      <c r="D267">
        <f>C267+'Decision Support'!$H$29</f>
        <v>7000</v>
      </c>
      <c r="E267">
        <f>C267-'Decision Support'!$H$29</f>
        <v>-7000</v>
      </c>
      <c r="F267">
        <f t="shared" si="10"/>
        <v>0</v>
      </c>
    </row>
    <row r="268" spans="1:6" x14ac:dyDescent="0.25">
      <c r="A268">
        <f t="shared" si="9"/>
        <v>267</v>
      </c>
      <c r="C268">
        <v>0</v>
      </c>
      <c r="D268">
        <f>C268+'Decision Support'!$H$29</f>
        <v>7000</v>
      </c>
      <c r="E268">
        <f>C268-'Decision Support'!$H$29</f>
        <v>-7000</v>
      </c>
      <c r="F268">
        <f t="shared" si="10"/>
        <v>0</v>
      </c>
    </row>
    <row r="269" spans="1:6" x14ac:dyDescent="0.25">
      <c r="A269">
        <f t="shared" si="9"/>
        <v>268</v>
      </c>
      <c r="C269">
        <v>0</v>
      </c>
      <c r="D269">
        <f>C269+'Decision Support'!$H$29</f>
        <v>7000</v>
      </c>
      <c r="E269">
        <f>C269-'Decision Support'!$H$29</f>
        <v>-7000</v>
      </c>
      <c r="F269">
        <f t="shared" si="10"/>
        <v>0</v>
      </c>
    </row>
    <row r="270" spans="1:6" x14ac:dyDescent="0.25">
      <c r="A270">
        <f t="shared" si="9"/>
        <v>269</v>
      </c>
      <c r="C270">
        <v>0</v>
      </c>
      <c r="D270">
        <f>C270+'Decision Support'!$H$29</f>
        <v>7000</v>
      </c>
      <c r="E270">
        <f>C270-'Decision Support'!$H$29</f>
        <v>-7000</v>
      </c>
      <c r="F270">
        <f t="shared" si="10"/>
        <v>0</v>
      </c>
    </row>
    <row r="271" spans="1:6" x14ac:dyDescent="0.25">
      <c r="A271">
        <f t="shared" si="9"/>
        <v>270</v>
      </c>
      <c r="C271">
        <v>0</v>
      </c>
      <c r="D271">
        <f>C271+'Decision Support'!$H$29</f>
        <v>7000</v>
      </c>
      <c r="E271">
        <f>C271-'Decision Support'!$H$29</f>
        <v>-7000</v>
      </c>
      <c r="F271">
        <f t="shared" si="10"/>
        <v>0</v>
      </c>
    </row>
    <row r="272" spans="1:6" x14ac:dyDescent="0.25">
      <c r="A272">
        <f t="shared" si="9"/>
        <v>271</v>
      </c>
      <c r="C272">
        <v>0</v>
      </c>
      <c r="D272">
        <f>C272+'Decision Support'!$H$29</f>
        <v>7000</v>
      </c>
      <c r="E272">
        <f>C272-'Decision Support'!$H$29</f>
        <v>-7000</v>
      </c>
      <c r="F272">
        <f t="shared" si="10"/>
        <v>0</v>
      </c>
    </row>
    <row r="273" spans="1:6" x14ac:dyDescent="0.25">
      <c r="A273">
        <f t="shared" si="9"/>
        <v>272</v>
      </c>
      <c r="C273">
        <v>0</v>
      </c>
      <c r="D273">
        <f>C273+'Decision Support'!$H$29</f>
        <v>7000</v>
      </c>
      <c r="E273">
        <f>C273-'Decision Support'!$H$29</f>
        <v>-7000</v>
      </c>
      <c r="F273">
        <f t="shared" si="10"/>
        <v>0</v>
      </c>
    </row>
    <row r="274" spans="1:6" x14ac:dyDescent="0.25">
      <c r="A274">
        <f t="shared" si="9"/>
        <v>273</v>
      </c>
      <c r="C274">
        <v>0</v>
      </c>
      <c r="D274">
        <f>C274+'Decision Support'!$H$29</f>
        <v>7000</v>
      </c>
      <c r="E274">
        <f>C274-'Decision Support'!$H$29</f>
        <v>-7000</v>
      </c>
      <c r="F274">
        <f t="shared" si="10"/>
        <v>0</v>
      </c>
    </row>
    <row r="275" spans="1:6" x14ac:dyDescent="0.25">
      <c r="A275">
        <f t="shared" si="9"/>
        <v>274</v>
      </c>
      <c r="C275">
        <v>0</v>
      </c>
      <c r="D275">
        <f>C275+'Decision Support'!$H$29</f>
        <v>7000</v>
      </c>
      <c r="E275">
        <f>C275-'Decision Support'!$H$29</f>
        <v>-7000</v>
      </c>
      <c r="F275">
        <f t="shared" si="10"/>
        <v>0</v>
      </c>
    </row>
    <row r="276" spans="1:6" x14ac:dyDescent="0.25">
      <c r="A276">
        <f t="shared" si="9"/>
        <v>275</v>
      </c>
      <c r="C276">
        <v>0</v>
      </c>
      <c r="D276">
        <f>C276+'Decision Support'!$H$29</f>
        <v>7000</v>
      </c>
      <c r="E276">
        <f>C276-'Decision Support'!$H$29</f>
        <v>-7000</v>
      </c>
      <c r="F276">
        <f t="shared" si="10"/>
        <v>0</v>
      </c>
    </row>
    <row r="277" spans="1:6" x14ac:dyDescent="0.25">
      <c r="A277">
        <f t="shared" si="9"/>
        <v>276</v>
      </c>
      <c r="C277">
        <v>0</v>
      </c>
      <c r="D277">
        <f>C277+'Decision Support'!$H$29</f>
        <v>7000</v>
      </c>
      <c r="E277">
        <f>C277-'Decision Support'!$H$29</f>
        <v>-7000</v>
      </c>
      <c r="F277">
        <f t="shared" si="10"/>
        <v>0</v>
      </c>
    </row>
    <row r="278" spans="1:6" x14ac:dyDescent="0.25">
      <c r="A278">
        <f t="shared" si="9"/>
        <v>277</v>
      </c>
      <c r="C278">
        <v>0</v>
      </c>
      <c r="D278">
        <f>C278+'Decision Support'!$H$29</f>
        <v>7000</v>
      </c>
      <c r="E278">
        <f>C278-'Decision Support'!$H$29</f>
        <v>-7000</v>
      </c>
      <c r="F278">
        <f t="shared" si="10"/>
        <v>0</v>
      </c>
    </row>
    <row r="279" spans="1:6" x14ac:dyDescent="0.25">
      <c r="A279">
        <f t="shared" si="9"/>
        <v>278</v>
      </c>
      <c r="C279">
        <v>0</v>
      </c>
      <c r="D279">
        <f>C279+'Decision Support'!$H$29</f>
        <v>7000</v>
      </c>
      <c r="E279">
        <f>C279-'Decision Support'!$H$29</f>
        <v>-7000</v>
      </c>
      <c r="F279">
        <f t="shared" si="10"/>
        <v>0</v>
      </c>
    </row>
    <row r="280" spans="1:6" x14ac:dyDescent="0.25">
      <c r="A280">
        <f t="shared" si="9"/>
        <v>279</v>
      </c>
      <c r="C280">
        <v>0</v>
      </c>
      <c r="D280">
        <f>C280+'Decision Support'!$H$29</f>
        <v>7000</v>
      </c>
      <c r="E280">
        <f>C280-'Decision Support'!$H$29</f>
        <v>-7000</v>
      </c>
      <c r="F280">
        <f t="shared" si="10"/>
        <v>0</v>
      </c>
    </row>
    <row r="281" spans="1:6" x14ac:dyDescent="0.25">
      <c r="A281">
        <f t="shared" si="9"/>
        <v>280</v>
      </c>
      <c r="C281">
        <v>0</v>
      </c>
      <c r="D281">
        <f>C281+'Decision Support'!$H$29</f>
        <v>7000</v>
      </c>
      <c r="E281">
        <f>C281-'Decision Support'!$H$29</f>
        <v>-7000</v>
      </c>
      <c r="F281">
        <f t="shared" si="10"/>
        <v>0</v>
      </c>
    </row>
    <row r="282" spans="1:6" x14ac:dyDescent="0.25">
      <c r="A282">
        <f t="shared" si="9"/>
        <v>281</v>
      </c>
      <c r="C282">
        <v>0</v>
      </c>
      <c r="D282">
        <f>C282+'Decision Support'!$H$29</f>
        <v>7000</v>
      </c>
      <c r="E282">
        <f>C282-'Decision Support'!$H$29</f>
        <v>-7000</v>
      </c>
      <c r="F282">
        <f t="shared" si="10"/>
        <v>0</v>
      </c>
    </row>
    <row r="283" spans="1:6" x14ac:dyDescent="0.25">
      <c r="A283">
        <f t="shared" si="9"/>
        <v>282</v>
      </c>
      <c r="C283">
        <v>0</v>
      </c>
      <c r="D283">
        <f>C283+'Decision Support'!$H$29</f>
        <v>7000</v>
      </c>
      <c r="E283">
        <f>C283-'Decision Support'!$H$29</f>
        <v>-7000</v>
      </c>
      <c r="F283">
        <f t="shared" si="10"/>
        <v>0</v>
      </c>
    </row>
    <row r="284" spans="1:6" x14ac:dyDescent="0.25">
      <c r="A284">
        <f t="shared" si="9"/>
        <v>283</v>
      </c>
      <c r="C284">
        <v>0</v>
      </c>
      <c r="D284">
        <f>C284+'Decision Support'!$H$29</f>
        <v>7000</v>
      </c>
      <c r="E284">
        <f>C284-'Decision Support'!$H$29</f>
        <v>-7000</v>
      </c>
      <c r="F284">
        <f t="shared" si="10"/>
        <v>0</v>
      </c>
    </row>
    <row r="285" spans="1:6" x14ac:dyDescent="0.25">
      <c r="A285">
        <f t="shared" si="9"/>
        <v>284</v>
      </c>
      <c r="C285">
        <v>0</v>
      </c>
      <c r="D285">
        <f>C285+'Decision Support'!$H$29</f>
        <v>7000</v>
      </c>
      <c r="E285">
        <f>C285-'Decision Support'!$H$29</f>
        <v>-7000</v>
      </c>
      <c r="F285">
        <f t="shared" si="10"/>
        <v>0</v>
      </c>
    </row>
    <row r="286" spans="1:6" x14ac:dyDescent="0.25">
      <c r="A286">
        <f t="shared" si="9"/>
        <v>285</v>
      </c>
      <c r="C286">
        <v>0</v>
      </c>
      <c r="D286">
        <f>C286+'Decision Support'!$H$29</f>
        <v>7000</v>
      </c>
      <c r="E286">
        <f>C286-'Decision Support'!$H$29</f>
        <v>-7000</v>
      </c>
      <c r="F286">
        <f t="shared" si="10"/>
        <v>0</v>
      </c>
    </row>
    <row r="287" spans="1:6" x14ac:dyDescent="0.25">
      <c r="A287">
        <f t="shared" si="9"/>
        <v>286</v>
      </c>
      <c r="C287">
        <v>0</v>
      </c>
      <c r="D287">
        <f>C287+'Decision Support'!$H$29</f>
        <v>7000</v>
      </c>
      <c r="E287">
        <f>C287-'Decision Support'!$H$29</f>
        <v>-7000</v>
      </c>
      <c r="F287">
        <f t="shared" si="10"/>
        <v>0</v>
      </c>
    </row>
    <row r="288" spans="1:6" x14ac:dyDescent="0.25">
      <c r="A288">
        <f t="shared" si="9"/>
        <v>287</v>
      </c>
      <c r="C288">
        <v>0</v>
      </c>
      <c r="D288">
        <f>C288+'Decision Support'!$H$29</f>
        <v>7000</v>
      </c>
      <c r="E288">
        <f>C288-'Decision Support'!$H$29</f>
        <v>-7000</v>
      </c>
      <c r="F288">
        <f t="shared" si="10"/>
        <v>0</v>
      </c>
    </row>
    <row r="289" spans="1:6" x14ac:dyDescent="0.25">
      <c r="A289">
        <f t="shared" si="9"/>
        <v>288</v>
      </c>
      <c r="C289">
        <v>0</v>
      </c>
      <c r="D289">
        <f>C289+'Decision Support'!$H$29</f>
        <v>7000</v>
      </c>
      <c r="E289">
        <f>C289-'Decision Support'!$H$29</f>
        <v>-7000</v>
      </c>
      <c r="F289">
        <f t="shared" si="10"/>
        <v>0</v>
      </c>
    </row>
    <row r="290" spans="1:6" x14ac:dyDescent="0.25">
      <c r="A290">
        <f t="shared" si="9"/>
        <v>289</v>
      </c>
      <c r="C290">
        <v>0</v>
      </c>
      <c r="D290">
        <f>C290+'Decision Support'!$H$29</f>
        <v>7000</v>
      </c>
      <c r="E290">
        <f>C290-'Decision Support'!$H$29</f>
        <v>-7000</v>
      </c>
      <c r="F290">
        <f t="shared" si="10"/>
        <v>0</v>
      </c>
    </row>
    <row r="291" spans="1:6" x14ac:dyDescent="0.25">
      <c r="A291">
        <f t="shared" si="9"/>
        <v>290</v>
      </c>
      <c r="C291">
        <v>0</v>
      </c>
      <c r="D291">
        <f>C291+'Decision Support'!$H$29</f>
        <v>7000</v>
      </c>
      <c r="E291">
        <f>C291-'Decision Support'!$H$29</f>
        <v>-7000</v>
      </c>
      <c r="F291">
        <f t="shared" si="10"/>
        <v>0</v>
      </c>
    </row>
    <row r="292" spans="1:6" x14ac:dyDescent="0.25">
      <c r="A292">
        <f t="shared" si="9"/>
        <v>291</v>
      </c>
      <c r="C292">
        <v>0</v>
      </c>
      <c r="D292">
        <f>C292+'Decision Support'!$H$29</f>
        <v>7000</v>
      </c>
      <c r="E292">
        <f>C292-'Decision Support'!$H$29</f>
        <v>-7000</v>
      </c>
      <c r="F292">
        <f t="shared" si="10"/>
        <v>0</v>
      </c>
    </row>
    <row r="293" spans="1:6" x14ac:dyDescent="0.25">
      <c r="A293">
        <f t="shared" si="9"/>
        <v>292</v>
      </c>
      <c r="C293">
        <v>0</v>
      </c>
      <c r="D293">
        <f>C293+'Decision Support'!$H$29</f>
        <v>7000</v>
      </c>
      <c r="E293">
        <f>C293-'Decision Support'!$H$29</f>
        <v>-7000</v>
      </c>
      <c r="F293">
        <f t="shared" si="10"/>
        <v>0</v>
      </c>
    </row>
    <row r="294" spans="1:6" x14ac:dyDescent="0.25">
      <c r="A294">
        <f t="shared" si="9"/>
        <v>293</v>
      </c>
      <c r="C294">
        <v>0</v>
      </c>
      <c r="D294">
        <f>C294+'Decision Support'!$H$29</f>
        <v>7000</v>
      </c>
      <c r="E294">
        <f>C294-'Decision Support'!$H$29</f>
        <v>-7000</v>
      </c>
      <c r="F294">
        <f t="shared" si="10"/>
        <v>0</v>
      </c>
    </row>
    <row r="295" spans="1:6" x14ac:dyDescent="0.25">
      <c r="A295">
        <f t="shared" si="9"/>
        <v>294</v>
      </c>
      <c r="C295">
        <v>0</v>
      </c>
      <c r="D295">
        <f>C295+'Decision Support'!$H$29</f>
        <v>7000</v>
      </c>
      <c r="E295">
        <f>C295-'Decision Support'!$H$29</f>
        <v>-7000</v>
      </c>
      <c r="F295">
        <f t="shared" si="10"/>
        <v>0</v>
      </c>
    </row>
    <row r="296" spans="1:6" x14ac:dyDescent="0.25">
      <c r="A296">
        <f t="shared" si="9"/>
        <v>295</v>
      </c>
      <c r="C296">
        <v>0</v>
      </c>
      <c r="D296">
        <f>C296+'Decision Support'!$H$29</f>
        <v>7000</v>
      </c>
      <c r="E296">
        <f>C296-'Decision Support'!$H$29</f>
        <v>-7000</v>
      </c>
      <c r="F296">
        <f t="shared" si="10"/>
        <v>0</v>
      </c>
    </row>
    <row r="297" spans="1:6" x14ac:dyDescent="0.25">
      <c r="A297">
        <f t="shared" si="9"/>
        <v>296</v>
      </c>
      <c r="C297">
        <v>0</v>
      </c>
      <c r="D297">
        <f>C297+'Decision Support'!$H$29</f>
        <v>7000</v>
      </c>
      <c r="E297">
        <f>C297-'Decision Support'!$H$29</f>
        <v>-7000</v>
      </c>
      <c r="F297">
        <f t="shared" si="10"/>
        <v>0</v>
      </c>
    </row>
    <row r="298" spans="1:6" x14ac:dyDescent="0.25">
      <c r="A298">
        <f t="shared" si="9"/>
        <v>297</v>
      </c>
      <c r="C298">
        <v>0</v>
      </c>
      <c r="D298">
        <f>C298+'Decision Support'!$H$29</f>
        <v>7000</v>
      </c>
      <c r="E298">
        <f>C298-'Decision Support'!$H$29</f>
        <v>-7000</v>
      </c>
      <c r="F298">
        <f t="shared" si="10"/>
        <v>0</v>
      </c>
    </row>
    <row r="299" spans="1:6" x14ac:dyDescent="0.25">
      <c r="A299">
        <f t="shared" si="9"/>
        <v>298</v>
      </c>
      <c r="C299">
        <v>0</v>
      </c>
      <c r="D299">
        <f>C299+'Decision Support'!$H$29</f>
        <v>7000</v>
      </c>
      <c r="E299">
        <f>C299-'Decision Support'!$H$29</f>
        <v>-7000</v>
      </c>
      <c r="F299">
        <f t="shared" si="10"/>
        <v>0</v>
      </c>
    </row>
    <row r="300" spans="1:6" x14ac:dyDescent="0.25">
      <c r="A300">
        <f t="shared" si="9"/>
        <v>299</v>
      </c>
      <c r="C300">
        <v>0</v>
      </c>
      <c r="D300">
        <f>C300+'Decision Support'!$H$29</f>
        <v>7000</v>
      </c>
      <c r="E300">
        <f>C300-'Decision Support'!$H$29</f>
        <v>-7000</v>
      </c>
      <c r="F300">
        <f t="shared" si="10"/>
        <v>0</v>
      </c>
    </row>
    <row r="301" spans="1:6" x14ac:dyDescent="0.25">
      <c r="A301">
        <f t="shared" si="9"/>
        <v>300</v>
      </c>
      <c r="C301">
        <v>0</v>
      </c>
      <c r="D301">
        <f>C301+'Decision Support'!$H$29</f>
        <v>7000</v>
      </c>
      <c r="E301">
        <f>C301-'Decision Support'!$H$29</f>
        <v>-7000</v>
      </c>
      <c r="F301">
        <f t="shared" si="10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2" ma:contentTypeDescription="Create a new document." ma:contentTypeScope="" ma:versionID="20d49404249c649523cc0bc27af4ca88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cc3a27bd38f0455fc0e96b1e09095698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7F4F5F-0A6F-4515-BF5A-EA3B5BBBEC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CB328BC-5AF3-4E03-90B2-44B7EA7272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8a0837-456d-483e-87f2-2d63866936b4"/>
    <ds:schemaRef ds:uri="48044145-bfd1-4649-85cb-c0de0d49c5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ADD663-C63C-4B1A-A8FC-E1F44898F11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Decision Support</vt:lpstr>
      <vt:lpstr>Chart Data</vt:lpstr>
      <vt:lpstr>Beginning_of_case</vt:lpstr>
      <vt:lpstr>chart_check</vt:lpstr>
      <vt:lpstr>chart_reset</vt:lpstr>
      <vt:lpstr>chartdata</vt:lpstr>
      <vt:lpstr>currenttick</vt:lpstr>
      <vt:lpstr>Portfolio_Delta</vt:lpstr>
      <vt:lpstr>RiskFree</vt:lpstr>
      <vt:lpstr>StockPrice</vt:lpstr>
      <vt:lpstr>Time_to_Maturity</vt:lpstr>
      <vt:lpstr>Volatility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Eric Kang</cp:lastModifiedBy>
  <dcterms:created xsi:type="dcterms:W3CDTF">2015-08-04T16:57:50Z</dcterms:created>
  <dcterms:modified xsi:type="dcterms:W3CDTF">2025-09-08T18:53:50Z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</Properties>
</file>