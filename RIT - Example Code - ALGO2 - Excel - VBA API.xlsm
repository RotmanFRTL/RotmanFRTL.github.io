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xl/volatileDependencies.xml" ContentType="application/vnd.openxmlformats-officedocument.spreadsheetml.volatileDependenc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ic.Kang\Desktop\May 2018 release\Process\"/>
    </mc:Choice>
  </mc:AlternateContent>
  <bookViews>
    <workbookView xWindow="120" yWindow="75" windowWidth="23820" windowHeight="9855"/>
  </bookViews>
  <sheets>
    <sheet name="Sheet1" sheetId="1" r:id="rId1"/>
  </sheets>
  <functionGroups builtInGroupCount="18"/>
  <definedNames>
    <definedName name="ALGO_ASK">Sheet1!$D$2</definedName>
    <definedName name="ALGO_BID">Sheet1!$C$2</definedName>
    <definedName name="ALGO_LAST">Sheet1!$B$2</definedName>
    <definedName name="BUY_VOLUME">Sheet1!$B$6</definedName>
    <definedName name="ORDERS">Sheet1!$B$4</definedName>
    <definedName name="SELL_VOLUME">Sheet1!$B$7</definedName>
    <definedName name="SPREAD">Sheet1!$B$5</definedName>
  </definedNames>
  <calcPr calcId="162913"/>
</workbook>
</file>

<file path=xl/calcChain.xml><?xml version="1.0" encoding="utf-8"?>
<calcChain xmlns="http://schemas.openxmlformats.org/spreadsheetml/2006/main">
  <c r="B2" i="1" l="1"/>
  <c r="E2" i="1"/>
  <c r="D2" i="1"/>
  <c r="B12" i="1"/>
  <c r="A15" i="1" s="1" a="1"/>
  <c r="B4" i="1"/>
  <c r="F2" i="1"/>
  <c r="F10" i="1" s="1"/>
  <c r="C2" i="1"/>
  <c r="C16" i="1" l="1"/>
  <c r="E20" i="1"/>
  <c r="B15" i="1"/>
  <c r="H21" i="1"/>
  <c r="B22" i="1"/>
  <c r="G18" i="1"/>
  <c r="H20" i="1"/>
  <c r="C15" i="1"/>
  <c r="C19" i="1"/>
  <c r="D22" i="1"/>
  <c r="H19" i="1"/>
  <c r="C20" i="1"/>
  <c r="G19" i="1"/>
  <c r="C21" i="1"/>
  <c r="A15" i="1"/>
  <c r="G15" i="1"/>
  <c r="A16" i="1"/>
  <c r="G21" i="1"/>
  <c r="A17" i="1"/>
  <c r="E15" i="1"/>
  <c r="B18" i="1"/>
  <c r="H22" i="1"/>
  <c r="D19" i="1"/>
  <c r="F15" i="1"/>
  <c r="D20" i="1"/>
  <c r="D17" i="1"/>
  <c r="A18" i="1"/>
  <c r="C18" i="1"/>
  <c r="F16" i="1"/>
  <c r="G22" i="1"/>
  <c r="B21" i="1"/>
  <c r="C22" i="1"/>
  <c r="D18" i="1"/>
  <c r="E22" i="1"/>
  <c r="A19" i="1"/>
  <c r="G17" i="1"/>
  <c r="H16" i="1"/>
  <c r="F17" i="1"/>
  <c r="A22" i="1"/>
  <c r="E17" i="1"/>
  <c r="A21" i="1"/>
  <c r="E21" i="1"/>
  <c r="F20" i="1"/>
  <c r="B17" i="1"/>
  <c r="E19" i="1"/>
  <c r="H15" i="1"/>
  <c r="G16" i="1"/>
  <c r="H17" i="1"/>
  <c r="D15" i="1"/>
  <c r="B20" i="1"/>
  <c r="F19" i="1"/>
  <c r="F18" i="1"/>
  <c r="A20" i="1"/>
  <c r="G20" i="1"/>
  <c r="D16" i="1"/>
  <c r="F22" i="1"/>
  <c r="B19" i="1"/>
  <c r="D21" i="1"/>
  <c r="F21" i="1"/>
  <c r="B16" i="1"/>
  <c r="C17" i="1"/>
  <c r="H18" i="1"/>
  <c r="E18" i="1"/>
  <c r="E16" i="1"/>
</calcChain>
</file>

<file path=xl/sharedStrings.xml><?xml version="1.0" encoding="utf-8"?>
<sst xmlns="http://schemas.openxmlformats.org/spreadsheetml/2006/main" count="27" uniqueCount="27">
  <si>
    <t>ALGO</t>
  </si>
  <si>
    <t>Last</t>
  </si>
  <si>
    <t>Bid</t>
  </si>
  <si>
    <t>Ask</t>
  </si>
  <si>
    <t>Time Remaining</t>
  </si>
  <si>
    <t>&lt;--=RTD("rit2.rtd",,"TIMEREMAINING")</t>
  </si>
  <si>
    <t>Spread</t>
  </si>
  <si>
    <t>Position</t>
  </si>
  <si>
    <t>Buy Volume</t>
  </si>
  <si>
    <t>Sell Volume</t>
  </si>
  <si>
    <t>Start Time</t>
  </si>
  <si>
    <t>Stop Time</t>
  </si>
  <si>
    <t>Limit Orders:</t>
  </si>
  <si>
    <t>&lt;-- Range labelled "BUY_VOLUME"</t>
  </si>
  <si>
    <t>&lt;-- Range labelled "SPREAD"</t>
  </si>
  <si>
    <t>&lt;-- Range labelled "SELL_VOLUME"</t>
  </si>
  <si>
    <t>Open Orders:</t>
  </si>
  <si>
    <t>Price</t>
  </si>
  <si>
    <t>Total Qty</t>
  </si>
  <si>
    <t>Trade ID</t>
  </si>
  <si>
    <t>Remaining Qty</t>
  </si>
  <si>
    <t>VWAP</t>
  </si>
  <si>
    <t>Period</t>
  </si>
  <si>
    <t>Tick</t>
  </si>
  <si>
    <t>Timestamp</t>
  </si>
  <si>
    <t>&lt;--=marketmake(F2,B9,B10)</t>
  </si>
  <si>
    <t>&lt;--=RTD("rit2.rtd",,"ALGO","LIMITORDERS")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</si>
</sst>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>
        <v>300</v>
        <stp/>
        <stp>TIMEREMAINING</stp>
        <tr r="F2" s="1"/>
      </tp>
      <tp>
        <v>0</v>
        <stp/>
        <stp>ALGO</stp>
        <stp>POSITION</stp>
        <tr r="E2" s="1"/>
      </tp>
      <tp t="s">
        <v/>
        <stp/>
        <stp>ALGO</stp>
        <stp>OPENORDERS</stp>
        <tr r="B12" s="1"/>
      </tp>
      <tp>
        <v>0</v>
        <stp/>
        <stp>ALGO</stp>
        <stp>LIMITORDERS</stp>
        <tr r="B4" s="1"/>
      </tp>
      <tp>
        <v>0</v>
        <stp/>
        <stp>ALGO</stp>
        <stp>BID</stp>
        <tr r="C2" s="1"/>
      </tp>
      <tp>
        <v>0</v>
        <stp/>
        <stp>ALGO</stp>
        <stp>ASK</stp>
        <tr r="D2" s="1"/>
      </tp>
      <tp>
        <v>0</v>
        <stp/>
        <stp>ALGO</stp>
        <stp>LAST</stp>
        <tr r="B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10" Type="http://schemas.openxmlformats.org/officeDocument/2006/relationships/customXml" Target="../customXml/item3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2"/>
  <sheetViews>
    <sheetView tabSelected="1" workbookViewId="0">
      <selection activeCell="H6" sqref="H6"/>
    </sheetView>
  </sheetViews>
  <sheetFormatPr defaultRowHeight="15" x14ac:dyDescent="0.25"/>
  <cols>
    <col min="1" max="1" width="17.7109375" customWidth="1"/>
    <col min="4" max="4" width="13.5703125" customWidth="1"/>
  </cols>
  <sheetData>
    <row r="1" spans="1:8" x14ac:dyDescent="0.25">
      <c r="B1" t="s">
        <v>1</v>
      </c>
      <c r="C1" t="s">
        <v>2</v>
      </c>
      <c r="D1" t="s">
        <v>3</v>
      </c>
      <c r="E1" t="s">
        <v>7</v>
      </c>
      <c r="F1" t="s">
        <v>4</v>
      </c>
    </row>
    <row r="2" spans="1:8" x14ac:dyDescent="0.25">
      <c r="A2" t="s">
        <v>0</v>
      </c>
      <c r="B2">
        <f>RTD("rit2.rtd",,"ALGO","LAST")</f>
        <v>0</v>
      </c>
      <c r="C2">
        <f>RTD("rit2.rtd",,"ALGO","BID")</f>
        <v>0</v>
      </c>
      <c r="D2">
        <f>RTD("rit2.rtd",,"ALGO","ASK")</f>
        <v>0</v>
      </c>
      <c r="E2">
        <f>RTD("rit2.rtd",,"ALGO","POSITION")</f>
        <v>0</v>
      </c>
      <c r="F2">
        <f>RTD("rit2.rtd",,"TIMEREMAINING")</f>
        <v>300</v>
      </c>
      <c r="G2" s="1" t="s">
        <v>5</v>
      </c>
    </row>
    <row r="4" spans="1:8" x14ac:dyDescent="0.25">
      <c r="A4" t="s">
        <v>12</v>
      </c>
      <c r="B4" s="2">
        <f>RTD("rit2.rtd",,"ALGO","LIMITORDERS")</f>
        <v>0</v>
      </c>
      <c r="C4" t="s">
        <v>26</v>
      </c>
    </row>
    <row r="5" spans="1:8" x14ac:dyDescent="0.25">
      <c r="A5" t="s">
        <v>6</v>
      </c>
      <c r="B5">
        <v>0.02</v>
      </c>
      <c r="C5" t="s">
        <v>14</v>
      </c>
    </row>
    <row r="6" spans="1:8" x14ac:dyDescent="0.25">
      <c r="A6" t="s">
        <v>8</v>
      </c>
      <c r="B6">
        <v>1000</v>
      </c>
      <c r="C6" t="s">
        <v>13</v>
      </c>
    </row>
    <row r="7" spans="1:8" x14ac:dyDescent="0.25">
      <c r="A7" t="s">
        <v>9</v>
      </c>
      <c r="B7">
        <v>1000</v>
      </c>
      <c r="C7" t="s">
        <v>15</v>
      </c>
    </row>
    <row r="9" spans="1:8" x14ac:dyDescent="0.25">
      <c r="A9" t="s">
        <v>10</v>
      </c>
      <c r="B9">
        <v>295</v>
      </c>
    </row>
    <row r="10" spans="1:8" x14ac:dyDescent="0.25">
      <c r="A10" t="s">
        <v>11</v>
      </c>
      <c r="B10">
        <v>10</v>
      </c>
      <c r="F10" s="2">
        <f>marketmake(F2,B9,B10)</f>
        <v>0</v>
      </c>
      <c r="G10" s="1" t="s">
        <v>25</v>
      </c>
    </row>
    <row r="12" spans="1:8" x14ac:dyDescent="0.25">
      <c r="A12" t="s">
        <v>16</v>
      </c>
      <c r="B12" t="str">
        <f>RTD("rit2.rtd",,"ALGO","OPENORDERS")</f>
        <v/>
      </c>
    </row>
    <row r="14" spans="1:8" x14ac:dyDescent="0.25">
      <c r="A14" t="s">
        <v>19</v>
      </c>
      <c r="B14" t="s">
        <v>17</v>
      </c>
      <c r="C14" t="s">
        <v>18</v>
      </c>
      <c r="D14" t="s">
        <v>20</v>
      </c>
      <c r="E14" t="s">
        <v>21</v>
      </c>
      <c r="F14" t="s">
        <v>22</v>
      </c>
      <c r="G14" t="s">
        <v>23</v>
      </c>
      <c r="H14" t="s">
        <v>24</v>
      </c>
    </row>
    <row r="15" spans="1:8" x14ac:dyDescent="0.25">
      <c r="A15" s="3" t="str">
        <f t="array" ref="A15:H22">PARSERTD(B12)</f>
        <v/>
      </c>
      <c r="B15" s="3" t="str">
        <v/>
      </c>
      <c r="C15" s="3" t="str">
        <v/>
      </c>
      <c r="D15" s="3" t="str">
        <v/>
      </c>
      <c r="E15" s="3" t="str">
        <v/>
      </c>
      <c r="F15" s="3" t="str">
        <v/>
      </c>
      <c r="G15" s="3" t="str">
        <v/>
      </c>
      <c r="H15" s="3" t="str">
        <v/>
      </c>
    </row>
    <row r="16" spans="1:8" x14ac:dyDescent="0.25">
      <c r="A16" s="3" t="str">
        <v/>
      </c>
      <c r="B16" s="3" t="str">
        <v/>
      </c>
      <c r="C16" s="3" t="str">
        <v/>
      </c>
      <c r="D16" s="3" t="str">
        <v/>
      </c>
      <c r="E16" s="3" t="str">
        <v/>
      </c>
      <c r="F16" s="3" t="str">
        <v/>
      </c>
      <c r="G16" s="3" t="str">
        <v/>
      </c>
      <c r="H16" s="3" t="str">
        <v/>
      </c>
    </row>
    <row r="17" spans="1:8" x14ac:dyDescent="0.25">
      <c r="A17" s="3" t="str">
        <v/>
      </c>
      <c r="B17" s="3" t="str">
        <v/>
      </c>
      <c r="C17" s="3" t="str">
        <v/>
      </c>
      <c r="D17" s="3" t="str">
        <v/>
      </c>
      <c r="E17" s="3" t="str">
        <v/>
      </c>
      <c r="F17" s="3" t="str">
        <v/>
      </c>
      <c r="G17" s="3" t="str">
        <v/>
      </c>
      <c r="H17" s="3" t="str">
        <v/>
      </c>
    </row>
    <row r="18" spans="1:8" x14ac:dyDescent="0.25">
      <c r="A18" s="3" t="str">
        <v/>
      </c>
      <c r="B18" s="3" t="str">
        <v/>
      </c>
      <c r="C18" s="3" t="str">
        <v/>
      </c>
      <c r="D18" s="3" t="str">
        <v/>
      </c>
      <c r="E18" s="3" t="str">
        <v/>
      </c>
      <c r="F18" s="3" t="str">
        <v/>
      </c>
      <c r="G18" s="3" t="str">
        <v/>
      </c>
      <c r="H18" s="3" t="str">
        <v/>
      </c>
    </row>
    <row r="19" spans="1:8" x14ac:dyDescent="0.25">
      <c r="A19" s="3" t="str">
        <v/>
      </c>
      <c r="B19" s="3" t="str">
        <v/>
      </c>
      <c r="C19" s="3" t="str">
        <v/>
      </c>
      <c r="D19" s="3" t="str">
        <v/>
      </c>
      <c r="E19" s="3" t="str">
        <v/>
      </c>
      <c r="F19" s="3" t="str">
        <v/>
      </c>
      <c r="G19" s="3" t="str">
        <v/>
      </c>
      <c r="H19" s="3" t="str">
        <v/>
      </c>
    </row>
    <row r="20" spans="1:8" x14ac:dyDescent="0.25">
      <c r="A20" s="3" t="str">
        <v/>
      </c>
      <c r="B20" s="3" t="str">
        <v/>
      </c>
      <c r="C20" s="3" t="str">
        <v/>
      </c>
      <c r="D20" s="3" t="str">
        <v/>
      </c>
      <c r="E20" s="3" t="str">
        <v/>
      </c>
      <c r="F20" s="3" t="str">
        <v/>
      </c>
      <c r="G20" s="3" t="str">
        <v/>
      </c>
      <c r="H20" s="3" t="str">
        <v/>
      </c>
    </row>
    <row r="21" spans="1:8" x14ac:dyDescent="0.25">
      <c r="A21" s="3" t="str">
        <v/>
      </c>
      <c r="B21" s="3" t="str">
        <v/>
      </c>
      <c r="C21" s="3" t="str">
        <v/>
      </c>
      <c r="D21" s="3" t="str">
        <v/>
      </c>
      <c r="E21" s="3" t="str">
        <v/>
      </c>
      <c r="F21" s="3" t="str">
        <v/>
      </c>
      <c r="G21" s="3" t="str">
        <v/>
      </c>
      <c r="H21" s="3" t="str">
        <v/>
      </c>
    </row>
    <row r="22" spans="1:8" x14ac:dyDescent="0.25">
      <c r="A22" s="3" t="str">
        <v/>
      </c>
      <c r="B22" s="3" t="str">
        <v/>
      </c>
      <c r="C22" s="3" t="str">
        <v/>
      </c>
      <c r="D22" s="3" t="str">
        <v/>
      </c>
      <c r="E22" s="3" t="str">
        <v/>
      </c>
      <c r="F22" s="3" t="str">
        <v/>
      </c>
      <c r="G22" s="3" t="str">
        <v/>
      </c>
      <c r="H22" s="3" t="str"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380B8B337FCC4BB69A0CA0F2CF6C58" ma:contentTypeVersion="12" ma:contentTypeDescription="Create a new document." ma:contentTypeScope="" ma:versionID="20d49404249c649523cc0bc27af4ca88">
  <xsd:schema xmlns:xsd="http://www.w3.org/2001/XMLSchema" xmlns:xs="http://www.w3.org/2001/XMLSchema" xmlns:p="http://schemas.microsoft.com/office/2006/metadata/properties" xmlns:ns2="328a0837-456d-483e-87f2-2d63866936b4" xmlns:ns3="48044145-bfd1-4649-85cb-c0de0d49c5f7" targetNamespace="http://schemas.microsoft.com/office/2006/metadata/properties" ma:root="true" ma:fieldsID="cc3a27bd38f0455fc0e96b1e09095698" ns2:_="" ns3:_="">
    <xsd:import namespace="328a0837-456d-483e-87f2-2d63866936b4"/>
    <xsd:import namespace="48044145-bfd1-4649-85cb-c0de0d49c5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8a0837-456d-483e-87f2-2d63866936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044145-bfd1-4649-85cb-c0de0d49c5f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0FC7012-7F0D-4CCF-87FE-D511E954EAA8}"/>
</file>

<file path=customXml/itemProps2.xml><?xml version="1.0" encoding="utf-8"?>
<ds:datastoreItem xmlns:ds="http://schemas.openxmlformats.org/officeDocument/2006/customXml" ds:itemID="{9627BAA1-6E55-4946-B1FB-61BF867A9FD7}"/>
</file>

<file path=customXml/itemProps3.xml><?xml version="1.0" encoding="utf-8"?>
<ds:datastoreItem xmlns:ds="http://schemas.openxmlformats.org/officeDocument/2006/customXml" ds:itemID="{D106104A-E264-4797-9747-660532B32E04}"/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Sheet1</vt:lpstr>
      <vt:lpstr>ALGO_ASK</vt:lpstr>
      <vt:lpstr>ALGO_BID</vt:lpstr>
      <vt:lpstr>ALGO_LAST</vt:lpstr>
      <vt:lpstr>BUY_VOLUME</vt:lpstr>
      <vt:lpstr>ORDERS</vt:lpstr>
      <vt:lpstr>SELL_VOLUME</vt:lpstr>
      <vt:lpstr>SPREAD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2012-09-13T19:45:30Z</dcterms:created>
  <dcterms:modified xsi:type="dcterms:W3CDTF">2018-05-28T18:45:25Z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0x0101003D380B8B337FCC4BB69A0CA0F2CF6C58</vt:lpwstr>
  </property>
</Properties>
</file>